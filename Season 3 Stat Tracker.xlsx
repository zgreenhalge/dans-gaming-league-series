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117.xml"/>
  <Override ContentType="application/vnd.openxmlformats-officedocument.spreadsheetml.table+xml" PartName="/xl/tables/table59.xml"/>
  <Override ContentType="application/vnd.openxmlformats-officedocument.spreadsheetml.table+xml" PartName="/xl/tables/table125.xml"/>
  <Override ContentType="application/vnd.openxmlformats-officedocument.spreadsheetml.table+xml" PartName="/xl/tables/table91.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135.xml"/>
  <Override ContentType="application/vnd.openxmlformats-officedocument.spreadsheetml.table+xml" PartName="/xl/tables/table93.xml"/>
  <Override ContentType="application/vnd.openxmlformats-officedocument.spreadsheetml.table+xml" PartName="/xl/tables/table49.xml"/>
  <Override ContentType="application/vnd.openxmlformats-officedocument.spreadsheetml.table+xml" PartName="/xl/tables/table127.xml"/>
  <Override ContentType="application/vnd.openxmlformats-officedocument.spreadsheetml.table+xml" PartName="/xl/tables/table57.xml"/>
  <Override ContentType="application/vnd.openxmlformats-officedocument.spreadsheetml.table+xml" PartName="/xl/tables/table100.xml"/>
  <Override ContentType="application/vnd.openxmlformats-officedocument.spreadsheetml.table+xml" PartName="/xl/tables/table83.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75.xml"/>
  <Override ContentType="application/vnd.openxmlformats-officedocument.spreadsheetml.table+xml" PartName="/xl/tables/table109.xml"/>
  <Override ContentType="application/vnd.openxmlformats-officedocument.spreadsheetml.table+xml" PartName="/xl/tables/table18.xml"/>
  <Override ContentType="application/vnd.openxmlformats-officedocument.spreadsheetml.table+xml" PartName="/xl/tables/table81.xml"/>
  <Override ContentType="application/vnd.openxmlformats-officedocument.spreadsheetml.table+xml" PartName="/xl/tables/table115.xml"/>
  <Override ContentType="application/vnd.openxmlformats-officedocument.spreadsheetml.table+xml" PartName="/xl/tables/table102.xml"/>
  <Override ContentType="application/vnd.openxmlformats-officedocument.spreadsheetml.table+xml" PartName="/xl/tables/table22.xml"/>
  <Override ContentType="application/vnd.openxmlformats-officedocument.spreadsheetml.table+xml" PartName="/xl/tables/table95.xml"/>
  <Override ContentType="application/vnd.openxmlformats-officedocument.spreadsheetml.table+xml" PartName="/xl/tables/table52.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20.xml"/>
  <Override ContentType="application/vnd.openxmlformats-officedocument.spreadsheetml.table+xml" PartName="/xl/tables/table47.xml"/>
  <Override ContentType="application/vnd.openxmlformats-officedocument.spreadsheetml.table+xml" PartName="/xl/tables/table129.xml"/>
  <Override ContentType="application/vnd.openxmlformats-officedocument.spreadsheetml.table+xml" PartName="/xl/tables/table34.xml"/>
  <Override ContentType="application/vnd.openxmlformats-officedocument.spreadsheetml.table+xml" PartName="/xl/tables/table120.xml"/>
  <Override ContentType="application/vnd.openxmlformats-officedocument.spreadsheetml.table+xml" PartName="/xl/tables/table16.xml"/>
  <Override ContentType="application/vnd.openxmlformats-officedocument.spreadsheetml.table+xml" PartName="/xl/tables/table133.xml"/>
  <Override ContentType="application/vnd.openxmlformats-officedocument.spreadsheetml.table+xml" PartName="/xl/tables/table77.xml"/>
  <Override ContentType="application/vnd.openxmlformats-officedocument.spreadsheetml.table+xml" PartName="/xl/tables/table104.xml"/>
  <Override ContentType="application/vnd.openxmlformats-officedocument.spreadsheetml.table+xml" PartName="/xl/tables/table29.xml"/>
  <Override ContentType="application/vnd.openxmlformats-officedocument.spreadsheetml.table+xml" PartName="/xl/tables/table112.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89.xml"/>
  <Override ContentType="application/vnd.openxmlformats-officedocument.spreadsheetml.table+xml" PartName="/xl/tables/table63.xml"/>
  <Override ContentType="application/vnd.openxmlformats-officedocument.spreadsheetml.table+xml" PartName="/xl/tables/table121.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87.xml"/>
  <Override ContentType="application/vnd.openxmlformats-officedocument.spreadsheetml.table+xml" PartName="/xl/tables/table96.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131.xml"/>
  <Override ContentType="application/vnd.openxmlformats-officedocument.spreadsheetml.table+xml" PartName="/xl/tables/table9.xml"/>
  <Override ContentType="application/vnd.openxmlformats-officedocument.spreadsheetml.table+xml" PartName="/xl/tables/table123.xml"/>
  <Override ContentType="application/vnd.openxmlformats-officedocument.spreadsheetml.table+xml" PartName="/xl/tables/table119.xml"/>
  <Override ContentType="application/vnd.openxmlformats-officedocument.spreadsheetml.table+xml" PartName="/xl/tables/table2.xml"/>
  <Override ContentType="application/vnd.openxmlformats-officedocument.spreadsheetml.table+xml" PartName="/xl/tables/table106.xml"/>
  <Override ContentType="application/vnd.openxmlformats-officedocument.spreadsheetml.table+xml" PartName="/xl/tables/table110.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42.xml"/>
  <Override ContentType="application/vnd.openxmlformats-officedocument.spreadsheetml.table+xml" PartName="/xl/tables/table72.xml"/>
  <Override ContentType="application/vnd.openxmlformats-officedocument.spreadsheetml.table+xml" PartName="/xl/tables/table85.xml"/>
  <Override ContentType="application/vnd.openxmlformats-officedocument.spreadsheetml.table+xml" PartName="/xl/tables/table98.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table+xml" PartName="/xl/tables/table92.xml"/>
  <Override ContentType="application/vnd.openxmlformats-officedocument.spreadsheetml.table+xml" PartName="/xl/tables/table84.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41.xml"/>
  <Override ContentType="application/vnd.openxmlformats-officedocument.spreadsheetml.table+xml" PartName="/xl/tables/table108.xml"/>
  <Override ContentType="application/vnd.openxmlformats-officedocument.spreadsheetml.table+xml" PartName="/xl/tables/table15.xml"/>
  <Override ContentType="application/vnd.openxmlformats-officedocument.spreadsheetml.table+xml" PartName="/xl/tables/table134.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74.xml"/>
  <Override ContentType="application/vnd.openxmlformats-officedocument.spreadsheetml.table+xml" PartName="/xl/tables/table118.xml"/>
  <Override ContentType="application/vnd.openxmlformats-officedocument.spreadsheetml.table+xml" PartName="/xl/tables/table126.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28.xml"/>
  <Override ContentType="application/vnd.openxmlformats-officedocument.spreadsheetml.table+xml" PartName="/xl/tables/table48.xml"/>
  <Override ContentType="application/vnd.openxmlformats-officedocument.spreadsheetml.table+xml" PartName="/xl/tables/table101.xml"/>
  <Override ContentType="application/vnd.openxmlformats-officedocument.spreadsheetml.table+xml" PartName="/xl/tables/table114.xml"/>
  <Override ContentType="application/vnd.openxmlformats-officedocument.spreadsheetml.table+xml" PartName="/xl/tables/table35.xml"/>
  <Override ContentType="application/vnd.openxmlformats-officedocument.spreadsheetml.table+xml" PartName="/xl/tables/table132.xml"/>
  <Override ContentType="application/vnd.openxmlformats-officedocument.spreadsheetml.table+xml" PartName="/xl/tables/table78.xml"/>
  <Override ContentType="application/vnd.openxmlformats-officedocument.spreadsheetml.table+xml" PartName="/xl/tables/table10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82.xml"/>
  <Override ContentType="application/vnd.openxmlformats-officedocument.spreadsheetml.table+xml" PartName="/xl/tables/table116.xml"/>
  <Override ContentType="application/vnd.openxmlformats-officedocument.spreadsheetml.table+xml" PartName="/xl/tables/table7.xml"/>
  <Override ContentType="application/vnd.openxmlformats-officedocument.spreadsheetml.table+xml" PartName="/xl/tables/table21.xml"/>
  <Override ContentType="application/vnd.openxmlformats-officedocument.spreadsheetml.table+xml" PartName="/xl/tables/table94.xml"/>
  <Override ContentType="application/vnd.openxmlformats-officedocument.spreadsheetml.table+xml" PartName="/xl/tables/table51.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54.xml"/>
  <Override ContentType="application/vnd.openxmlformats-officedocument.spreadsheetml.table+xml" PartName="/xl/tables/table97.xml"/>
  <Override ContentType="application/vnd.openxmlformats-officedocument.spreadsheetml.table+xml" PartName="/xl/tables/table45.xml"/>
  <Override ContentType="application/vnd.openxmlformats-officedocument.spreadsheetml.table+xml" PartName="/xl/tables/table28.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105.xml"/>
  <Override ContentType="application/vnd.openxmlformats-officedocument.spreadsheetml.table+xml" PartName="/xl/tables/table130.xml"/>
  <Override ContentType="application/vnd.openxmlformats-officedocument.spreadsheetml.table+xml" PartName="/xl/tables/table71.xml"/>
  <Override ContentType="application/vnd.openxmlformats-officedocument.spreadsheetml.table+xml" PartName="/xl/tables/table113.xml"/>
  <Override ContentType="application/vnd.openxmlformats-officedocument.spreadsheetml.table+xml" PartName="/xl/tables/table88.xml"/>
  <Override ContentType="application/vnd.openxmlformats-officedocument.spreadsheetml.table+xml" PartName="/xl/tables/table122.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86.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99.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111.xml"/>
  <Override ContentType="application/vnd.openxmlformats-officedocument.spreadsheetml.table+xml" PartName="/xl/tables/table3.xml"/>
  <Override ContentType="application/vnd.openxmlformats-officedocument.spreadsheetml.table+xml" PartName="/xl/tables/table107.xml"/>
  <Override ContentType="application/vnd.openxmlformats-officedocument.spreadsheetml.table+xml" PartName="/xl/tables/table60.xml"/>
  <Override ContentType="application/vnd.openxmlformats-officedocument.spreadsheetml.table+xml" PartName="/xl/tables/table124.xml"/>
  <Override ContentType="application/vnd.openxmlformats-officedocument.spreadsheetml.table+xml" PartName="/xl/tables/table90.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3 Regular Season Stats" sheetId="1" r:id="rId5"/>
    <sheet state="visible" name="S3 Regular Season" sheetId="2" r:id="rId6"/>
    <sheet state="visible" name="Schedule Difficulty Calculator" sheetId="3" r:id="rId7"/>
    <sheet state="visible" name="Playoff Format + Play-ins" sheetId="4" r:id="rId8"/>
    <sheet state="visible" name="Matchup Metrics - Reg Season Cr" sheetId="5" r:id="rId9"/>
    <sheet state="visible" name="12 person of Reg Season Creatio" sheetId="6" r:id="rId10"/>
  </sheets>
  <definedNames>
    <definedName hidden="1" localSheetId="0" name="_xlnm._FilterDatabase">'S3 Regular Season Stats'!$A$33:$I$46</definedName>
  </definedNames>
  <calcPr/>
</workbook>
</file>

<file path=xl/sharedStrings.xml><?xml version="1.0" encoding="utf-8"?>
<sst xmlns="http://schemas.openxmlformats.org/spreadsheetml/2006/main" count="2036" uniqueCount="342">
  <si>
    <t>4</t>
  </si>
  <si>
    <t>Kills</t>
  </si>
  <si>
    <t>Assists</t>
  </si>
  <si>
    <t>Deaths</t>
  </si>
  <si>
    <t>Total Damage</t>
  </si>
  <si>
    <t>ADR</t>
  </si>
  <si>
    <t>Kill Diff.</t>
  </si>
  <si>
    <t>Category</t>
  </si>
  <si>
    <t>Leader</t>
  </si>
  <si>
    <t>Value</t>
  </si>
  <si>
    <t>Adam</t>
  </si>
  <si>
    <t>Andrew</t>
  </si>
  <si>
    <t>Brian</t>
  </si>
  <si>
    <t>Least Deaths</t>
  </si>
  <si>
    <t>Dan</t>
  </si>
  <si>
    <t>K/D</t>
  </si>
  <si>
    <t>Emanuel</t>
  </si>
  <si>
    <t>Most Rounds Played</t>
  </si>
  <si>
    <t>Eric</t>
  </si>
  <si>
    <t>Least Rounds Played</t>
  </si>
  <si>
    <t>Fred</t>
  </si>
  <si>
    <t>Best Round WR%</t>
  </si>
  <si>
    <t>Kevin</t>
  </si>
  <si>
    <t>Most Damage</t>
  </si>
  <si>
    <t>Michael</t>
  </si>
  <si>
    <t>Most Dmg/Game</t>
  </si>
  <si>
    <t>Sean</t>
  </si>
  <si>
    <t>Best ADR</t>
  </si>
  <si>
    <t>Steve</t>
  </si>
  <si>
    <t>Longest Avg Game</t>
  </si>
  <si>
    <t>Tim</t>
  </si>
  <si>
    <t>Zach</t>
  </si>
  <si>
    <t>Name</t>
  </si>
  <si>
    <t>Dmg/Kill</t>
  </si>
  <si>
    <t>Kills/Round</t>
  </si>
  <si>
    <t>Assists/Round</t>
  </si>
  <si>
    <t>Deaths/Round</t>
  </si>
  <si>
    <t>Kills/Win</t>
  </si>
  <si>
    <t>Deaths/Win</t>
  </si>
  <si>
    <t>Kills/Loss</t>
  </si>
  <si>
    <t>Deaths/Loss</t>
  </si>
  <si>
    <t>Games</t>
  </si>
  <si>
    <t>Wins</t>
  </si>
  <si>
    <t>Losses</t>
  </si>
  <si>
    <t>WR %</t>
  </si>
  <si>
    <t>Round WR %</t>
  </si>
  <si>
    <t>Rounds Won</t>
  </si>
  <si>
    <t>Rounds Lost</t>
  </si>
  <si>
    <t>Rounds Played</t>
  </si>
  <si>
    <t>Place</t>
  </si>
  <si>
    <t>Player</t>
  </si>
  <si>
    <t>WR</t>
  </si>
  <si>
    <t>Round WR</t>
  </si>
  <si>
    <t>1st Round Bye</t>
  </si>
  <si>
    <t>Play-in</t>
  </si>
  <si>
    <t>Kill Diff/Game</t>
  </si>
  <si>
    <t>Dmg/Game</t>
  </si>
  <si>
    <t>Round Diff/Game</t>
  </si>
  <si>
    <t>Rounds/Game</t>
  </si>
  <si>
    <t>Rounds Won/Game</t>
  </si>
  <si>
    <t>Rounds Lost/Game</t>
  </si>
  <si>
    <t>Kills/Game</t>
  </si>
  <si>
    <t>Assists/Game</t>
  </si>
  <si>
    <t>Deaths/Game</t>
  </si>
  <si>
    <t>Map</t>
  </si>
  <si>
    <t>Pick</t>
  </si>
  <si>
    <t>Ban</t>
  </si>
  <si>
    <t>Not Picked</t>
  </si>
  <si>
    <t>CT Picked</t>
  </si>
  <si>
    <t>T Picked</t>
  </si>
  <si>
    <t>Picked &amp; Won</t>
  </si>
  <si>
    <t>Side</t>
  </si>
  <si>
    <t>Picked</t>
  </si>
  <si>
    <t>Wins/pick</t>
  </si>
  <si>
    <t>Loss/Pick</t>
  </si>
  <si>
    <t>Drawbridge</t>
  </si>
  <si>
    <t>CT</t>
  </si>
  <si>
    <t>Memento</t>
  </si>
  <si>
    <t>T</t>
  </si>
  <si>
    <t>Debris</t>
  </si>
  <si>
    <t>Splat</t>
  </si>
  <si>
    <t>Games played:</t>
  </si>
  <si>
    <t>/18</t>
  </si>
  <si>
    <t>Rooftop</t>
  </si>
  <si>
    <t>Week 1</t>
  </si>
  <si>
    <t>BYE</t>
  </si>
  <si>
    <t>GAME OF THE WEEK</t>
  </si>
  <si>
    <t>Final Score</t>
  </si>
  <si>
    <t>REMEMBER TO SCREENSHOT THE FINAL SCOREBOARD</t>
  </si>
  <si>
    <t>Shirts</t>
  </si>
  <si>
    <t>K</t>
  </si>
  <si>
    <t>A</t>
  </si>
  <si>
    <t>D</t>
  </si>
  <si>
    <t>DMG</t>
  </si>
  <si>
    <t>Rounds</t>
  </si>
  <si>
    <t>Win</t>
  </si>
  <si>
    <t>Skins</t>
  </si>
  <si>
    <t>Shirts Ban</t>
  </si>
  <si>
    <t>Skins Ban 1</t>
  </si>
  <si>
    <t>Skins Ban 2</t>
  </si>
  <si>
    <t>Shirts Pick</t>
  </si>
  <si>
    <t>Skins Side</t>
  </si>
  <si>
    <t>Column 9</t>
  </si>
  <si>
    <t>Week 2</t>
  </si>
  <si>
    <t>Week 3</t>
  </si>
  <si>
    <t>Week 4</t>
  </si>
  <si>
    <t>Week 5</t>
  </si>
  <si>
    <t>Week 6</t>
  </si>
  <si>
    <t>Week 7</t>
  </si>
  <si>
    <t>Week 8</t>
  </si>
  <si>
    <t>Week 9</t>
  </si>
  <si>
    <t>Week 10</t>
  </si>
  <si>
    <t>Week 11</t>
  </si>
  <si>
    <t>Week 12</t>
  </si>
  <si>
    <t>Week 13</t>
  </si>
  <si>
    <t>Wins leaders</t>
  </si>
  <si>
    <t>Rating Value</t>
  </si>
  <si>
    <t>prem</t>
  </si>
  <si>
    <t>last szn placement + random # for new</t>
  </si>
  <si>
    <t>Estimated Schedule Difficulty</t>
  </si>
  <si>
    <t>max for normalization</t>
  </si>
  <si>
    <t>RAW</t>
  </si>
  <si>
    <t>Relative Difficulty</t>
  </si>
  <si>
    <t>Relative Difficulty: The closer to 100%, the more difficult the schedule</t>
  </si>
  <si>
    <t>eric</t>
  </si>
  <si>
    <t>steve</t>
  </si>
  <si>
    <t>michael</t>
  </si>
  <si>
    <t>fred</t>
  </si>
  <si>
    <t>T 1</t>
  </si>
  <si>
    <t>T 2</t>
  </si>
  <si>
    <t>P1 DIF VAL</t>
  </si>
  <si>
    <t>P2 DIF VAL</t>
  </si>
  <si>
    <t>names</t>
  </si>
  <si>
    <t>Raw Closeness</t>
  </si>
  <si>
    <t>Normalized 0-100</t>
  </si>
  <si>
    <t>GAME NUM</t>
  </si>
  <si>
    <t>max</t>
  </si>
  <si>
    <t>min</t>
  </si>
  <si>
    <t>Play-ins</t>
  </si>
  <si>
    <t>Bottom Four players have mini-bracket to qualify for final playoff spot, the rest is the same as previous playoffs</t>
  </si>
  <si>
    <t>Total Games:</t>
  </si>
  <si>
    <t>estimated weeks:</t>
  </si>
  <si>
    <t>Important note, this is the only format with 1 explicit last place</t>
  </si>
  <si>
    <t>Playin Group</t>
  </si>
  <si>
    <t>seed number</t>
  </si>
  <si>
    <t>name</t>
  </si>
  <si>
    <t>record</t>
  </si>
  <si>
    <t>2-0</t>
  </si>
  <si>
    <t>Bye to finals</t>
  </si>
  <si>
    <t>Distributed into Groups for First Round</t>
  </si>
  <si>
    <t>0-2</t>
  </si>
  <si>
    <t>2 games, based on regular season seeding</t>
  </si>
  <si>
    <t>10 | 11</t>
  </si>
  <si>
    <t>12 | 13</t>
  </si>
  <si>
    <t>10 | 12</t>
  </si>
  <si>
    <t>11 | 13</t>
  </si>
  <si>
    <t>number 11 wins, squeeks into playoffs</t>
  </si>
  <si>
    <t>First Round</t>
  </si>
  <si>
    <t>2 players from each pool S and Z  are randomized into groups</t>
  </si>
  <si>
    <t>Pool S</t>
  </si>
  <si>
    <t>Pool Z</t>
  </si>
  <si>
    <t>Potential Payouts</t>
  </si>
  <si>
    <t>Result</t>
  </si>
  <si>
    <t>Payout</t>
  </si>
  <si>
    <t>Champion</t>
  </si>
  <si>
    <t>1-1 finalist</t>
  </si>
  <si>
    <t>play in winner</t>
  </si>
  <si>
    <t>0-2 finalist</t>
  </si>
  <si>
    <t>Group 1</t>
  </si>
  <si>
    <t>Group 2</t>
  </si>
  <si>
    <t>1-1 first round</t>
  </si>
  <si>
    <t>2-0 qualifies to finals</t>
  </si>
  <si>
    <t>1-1s can have a money match if they want</t>
  </si>
  <si>
    <t>0-2 first round</t>
  </si>
  <si>
    <t>play-in 1-1</t>
  </si>
  <si>
    <t>Each Group plays 2 Games - top 2 vs bottom 2, coinflip second matchup</t>
  </si>
  <si>
    <t>3 | 5</t>
  </si>
  <si>
    <t>8 | 11</t>
  </si>
  <si>
    <t>play-in 0-0</t>
  </si>
  <si>
    <t>from Adam</t>
  </si>
  <si>
    <t>3 | 11</t>
  </si>
  <si>
    <t>5 | 8</t>
  </si>
  <si>
    <t>number 2 seed wins, direct qualification to finals</t>
  </si>
  <si>
    <t>Finals</t>
  </si>
  <si>
    <t>1st seed reg season, 2 winners of groups, 1 wildcard winner</t>
  </si>
  <si>
    <t>FINALS</t>
  </si>
  <si>
    <t>2 Games, first round winners get to pair with number 1 seed</t>
  </si>
  <si>
    <t>1 | 2</t>
  </si>
  <si>
    <t>4 | 5</t>
  </si>
  <si>
    <t>1 | 5</t>
  </si>
  <si>
    <t>2 | 4</t>
  </si>
  <si>
    <t>Number 2 seed wins! Great success</t>
  </si>
  <si>
    <t>check:  unique bye weeks</t>
  </si>
  <si>
    <t>check:  unique players in a week</t>
  </si>
  <si>
    <t>bye</t>
  </si>
  <si>
    <t>w1</t>
  </si>
  <si>
    <t>g1</t>
  </si>
  <si>
    <t>zach fred</t>
  </si>
  <si>
    <t>brian kevin</t>
  </si>
  <si>
    <t>g2</t>
  </si>
  <si>
    <t>dan steve</t>
  </si>
  <si>
    <t>tim eric</t>
  </si>
  <si>
    <t>g3</t>
  </si>
  <si>
    <t>andrew michael</t>
  </si>
  <si>
    <t>emanuel adam</t>
  </si>
  <si>
    <t>Games With</t>
  </si>
  <si>
    <t>adam</t>
  </si>
  <si>
    <t>andrew</t>
  </si>
  <si>
    <t>brian</t>
  </si>
  <si>
    <t>dan</t>
  </si>
  <si>
    <t>emanuel</t>
  </si>
  <si>
    <t>kevin</t>
  </si>
  <si>
    <t>sean</t>
  </si>
  <si>
    <t>tim</t>
  </si>
  <si>
    <t>zach</t>
  </si>
  <si>
    <t>TOTAL GAMES</t>
  </si>
  <si>
    <t>w2</t>
  </si>
  <si>
    <t>g4</t>
  </si>
  <si>
    <t>sean fred</t>
  </si>
  <si>
    <t>tim adam</t>
  </si>
  <si>
    <t>g5</t>
  </si>
  <si>
    <t>brian eric</t>
  </si>
  <si>
    <t>dan michael</t>
  </si>
  <si>
    <t>g6</t>
  </si>
  <si>
    <t>zach steve</t>
  </si>
  <si>
    <t>andrew emanuel</t>
  </si>
  <si>
    <t>w3</t>
  </si>
  <si>
    <t>g7</t>
  </si>
  <si>
    <t>sean kevin</t>
  </si>
  <si>
    <t>brian adam</t>
  </si>
  <si>
    <t>g8</t>
  </si>
  <si>
    <t>zach michael</t>
  </si>
  <si>
    <t>tim andrew</t>
  </si>
  <si>
    <t>g9</t>
  </si>
  <si>
    <t>dan emanuel</t>
  </si>
  <si>
    <t>steve fred</t>
  </si>
  <si>
    <t>w4</t>
  </si>
  <si>
    <t>g10</t>
  </si>
  <si>
    <t>eric kevin</t>
  </si>
  <si>
    <t>zach emanuel</t>
  </si>
  <si>
    <t>g11</t>
  </si>
  <si>
    <t>sean steve</t>
  </si>
  <si>
    <t>brian andrew</t>
  </si>
  <si>
    <t>g12</t>
  </si>
  <si>
    <t>dan tim</t>
  </si>
  <si>
    <t>michael fred</t>
  </si>
  <si>
    <t>w5</t>
  </si>
  <si>
    <t>g13</t>
  </si>
  <si>
    <t>sean eric</t>
  </si>
  <si>
    <t>emanuel fred</t>
  </si>
  <si>
    <t>g14</t>
  </si>
  <si>
    <t>adam kevin</t>
  </si>
  <si>
    <t>michael steve</t>
  </si>
  <si>
    <t>NFL Strength of Schedule</t>
  </si>
  <si>
    <t>Games Against</t>
  </si>
  <si>
    <t>g15</t>
  </si>
  <si>
    <t>zach tim</t>
  </si>
  <si>
    <t>brian dan</t>
  </si>
  <si>
    <t>w6</t>
  </si>
  <si>
    <t>g16</t>
  </si>
  <si>
    <t>andrew kevin</t>
  </si>
  <si>
    <t>tim fred</t>
  </si>
  <si>
    <t>g17</t>
  </si>
  <si>
    <t>adam eric</t>
  </si>
  <si>
    <t>zach brian</t>
  </si>
  <si>
    <t>g18</t>
  </si>
  <si>
    <t>sean michael</t>
  </si>
  <si>
    <t>emanuel steve</t>
  </si>
  <si>
    <t>w7</t>
  </si>
  <si>
    <t>g19</t>
  </si>
  <si>
    <t>sean adam</t>
  </si>
  <si>
    <t>dan kevin</t>
  </si>
  <si>
    <t>g20</t>
  </si>
  <si>
    <t>andrew eric</t>
  </si>
  <si>
    <t>tim steve</t>
  </si>
  <si>
    <t>g21</t>
  </si>
  <si>
    <t>brian fred</t>
  </si>
  <si>
    <t>emanuel michael</t>
  </si>
  <si>
    <t>w8</t>
  </si>
  <si>
    <t>g22</t>
  </si>
  <si>
    <t>brian steve</t>
  </si>
  <si>
    <t>sean emanuel</t>
  </si>
  <si>
    <t>g23</t>
  </si>
  <si>
    <t>dan eric</t>
  </si>
  <si>
    <t>andrew adam</t>
  </si>
  <si>
    <t>g24</t>
  </si>
  <si>
    <t>zach kevin</t>
  </si>
  <si>
    <t>tim michael</t>
  </si>
  <si>
    <t>w9</t>
  </si>
  <si>
    <t>g25</t>
  </si>
  <si>
    <t>sean andrew</t>
  </si>
  <si>
    <t>zach eric</t>
  </si>
  <si>
    <t>g26</t>
  </si>
  <si>
    <t>dan adam</t>
  </si>
  <si>
    <t>tim emanuel</t>
  </si>
  <si>
    <t>g27</t>
  </si>
  <si>
    <t>kevin fred</t>
  </si>
  <si>
    <t>brian michael</t>
  </si>
  <si>
    <t>I made up w/l for people mostly putting them in the middle</t>
  </si>
  <si>
    <t>w10</t>
  </si>
  <si>
    <t>Last Season W/L</t>
  </si>
  <si>
    <t>W</t>
  </si>
  <si>
    <t>L</t>
  </si>
  <si>
    <t>g28</t>
  </si>
  <si>
    <t>zach adam</t>
  </si>
  <si>
    <t>eric fred</t>
  </si>
  <si>
    <t>g29</t>
  </si>
  <si>
    <t>dan andrew</t>
  </si>
  <si>
    <t>brian emanuel</t>
  </si>
  <si>
    <t>g30</t>
  </si>
  <si>
    <t>sean tim</t>
  </si>
  <si>
    <t>steve kevin</t>
  </si>
  <si>
    <t>w11</t>
  </si>
  <si>
    <t>g31</t>
  </si>
  <si>
    <t>sean dan</t>
  </si>
  <si>
    <t>michael kevin</t>
  </si>
  <si>
    <t>g32</t>
  </si>
  <si>
    <t>zach andrew</t>
  </si>
  <si>
    <t>brian tim</t>
  </si>
  <si>
    <t>g33</t>
  </si>
  <si>
    <t>adam fred</t>
  </si>
  <si>
    <t>eric steve</t>
  </si>
  <si>
    <t>w12</t>
  </si>
  <si>
    <t>g34</t>
  </si>
  <si>
    <t>zach dan</t>
  </si>
  <si>
    <t>adam steve</t>
  </si>
  <si>
    <t>g35</t>
  </si>
  <si>
    <t>andrew fred</t>
  </si>
  <si>
    <t>emanuel kevin</t>
  </si>
  <si>
    <t>g36</t>
  </si>
  <si>
    <t>michael eric</t>
  </si>
  <si>
    <t>sean brian</t>
  </si>
  <si>
    <t>w13</t>
  </si>
  <si>
    <t>g37</t>
  </si>
  <si>
    <t>sean zach</t>
  </si>
  <si>
    <t>dan fred</t>
  </si>
  <si>
    <t>g38</t>
  </si>
  <si>
    <t>tim kevin</t>
  </si>
  <si>
    <t>emanuel eric</t>
  </si>
  <si>
    <t>g39</t>
  </si>
  <si>
    <t>andrew steve</t>
  </si>
  <si>
    <t>adam michael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</si>
</sst>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numFmt numFmtId="165" formatCode="0.0"/>
    <numFmt numFmtId="166" formatCode="m-d"/>
  </numFmts>
  <fonts count="20">
    <font>
      <sz val="10.0"/>
      <color rgb="FF000000"/>
      <name val="Arial"/>
      <scheme val="minor"/>
    </font>
    <font>
      <color theme="1"/>
      <name val="Arial"/>
    </font>
    <font>
      <color theme="1"/>
      <name val="Arial"/>
      <scheme val="minor"/>
    </font>
    <font>
      <b/>
      <color theme="1"/>
      <name val="Arial"/>
      <scheme val="minor"/>
    </font>
    <font>
      <color theme="1"/>
      <name val="Ui-monospace"/>
    </font>
    <font>
      <b/>
      <color rgb="FF434343"/>
      <name val="Roboto"/>
    </font>
    <font>
      <color rgb="FF434343"/>
      <name val="Roboto"/>
    </font>
    <font>
      <color rgb="FFFFFFFF"/>
      <name val="Roboto"/>
    </font>
    <font>
      <b/>
      <sz val="18.0"/>
      <color rgb="FFFFFFFF"/>
      <name val="Arial"/>
      <scheme val="minor"/>
    </font>
    <font>
      <b/>
      <sz val="18.0"/>
      <color theme="1"/>
      <name val="Arial"/>
      <scheme val="minor"/>
    </font>
    <font>
      <b/>
      <i/>
      <color theme="1"/>
      <name val="Arial"/>
      <scheme val="minor"/>
    </font>
    <font>
      <sz val="18.0"/>
      <color theme="1"/>
      <name val="Arial"/>
      <scheme val="minor"/>
    </font>
    <font>
      <b/>
      <color theme="1"/>
      <name val="Arial"/>
    </font>
    <font>
      <color rgb="FF000000"/>
      <name val="Arial"/>
    </font>
    <font>
      <color theme="1"/>
      <name val="Roboto"/>
    </font>
    <font>
      <b/>
      <sz val="18.0"/>
      <color rgb="FFFFFFFF"/>
      <name val="Arial"/>
    </font>
    <font>
      <b/>
      <i/>
      <u/>
      <sz val="18.0"/>
      <color theme="1"/>
      <name val="Arial"/>
    </font>
    <font/>
    <font>
      <b/>
      <i/>
      <u/>
      <color theme="1"/>
      <name val="Arial"/>
      <scheme val="minor"/>
    </font>
    <font>
      <b/>
      <i/>
      <u/>
      <sz val="18.0"/>
      <color theme="1"/>
      <name val="Arial"/>
      <scheme val="minor"/>
    </font>
  </fonts>
  <fills count="18">
    <fill>
      <patternFill patternType="none"/>
    </fill>
    <fill>
      <patternFill patternType="lightGray"/>
    </fill>
    <fill>
      <patternFill patternType="solid">
        <fgColor rgb="FFCCD9D4"/>
        <bgColor rgb="FFCCD9D4"/>
      </patternFill>
    </fill>
    <fill>
      <patternFill patternType="solid">
        <fgColor rgb="FF57BB8A"/>
        <bgColor rgb="FF57BB8A"/>
      </patternFill>
    </fill>
    <fill>
      <patternFill patternType="solid">
        <fgColor rgb="FF626E7A"/>
        <bgColor rgb="FF626E7A"/>
      </patternFill>
    </fill>
    <fill>
      <patternFill patternType="solid">
        <fgColor rgb="FFF6F8F9"/>
        <bgColor rgb="FFF6F8F9"/>
      </patternFill>
    </fill>
    <fill>
      <patternFill patternType="solid">
        <fgColor rgb="FFFFF2CC"/>
        <bgColor rgb="FFFFF2CC"/>
      </patternFill>
    </fill>
    <fill>
      <patternFill patternType="solid">
        <fgColor rgb="FFF4CCCC"/>
        <bgColor rgb="FFF4CCCC"/>
      </patternFill>
    </fill>
    <fill>
      <patternFill patternType="solid">
        <fgColor rgb="FFFFFFFF"/>
        <bgColor rgb="FFFFFFFF"/>
      </patternFill>
    </fill>
    <fill>
      <patternFill patternType="solid">
        <fgColor rgb="FFC9DAF8"/>
        <bgColor rgb="FFC9DAF8"/>
      </patternFill>
    </fill>
    <fill>
      <patternFill patternType="solid">
        <fgColor rgb="FFFCE5CD"/>
        <bgColor rgb="FFFCE5CD"/>
      </patternFill>
    </fill>
    <fill>
      <patternFill patternType="solid">
        <fgColor rgb="FF000000"/>
        <bgColor rgb="FF000000"/>
      </patternFill>
    </fill>
    <fill>
      <patternFill patternType="solid">
        <fgColor rgb="FFEFEFEF"/>
        <bgColor rgb="FFEFEFEF"/>
      </patternFill>
    </fill>
    <fill>
      <patternFill patternType="solid">
        <fgColor rgb="FFB7B7B7"/>
        <bgColor rgb="FFB7B7B7"/>
      </patternFill>
    </fill>
    <fill>
      <patternFill patternType="solid">
        <fgColor rgb="FF98D6B7"/>
        <bgColor rgb="FF98D6B7"/>
      </patternFill>
    </fill>
    <fill>
      <patternFill patternType="solid">
        <fgColor rgb="FFCCCCCC"/>
        <bgColor rgb="FFCCCCCC"/>
      </patternFill>
    </fill>
    <fill>
      <patternFill patternType="solid">
        <fgColor rgb="FFE67C73"/>
        <bgColor rgb="FFE67C73"/>
      </patternFill>
    </fill>
    <fill>
      <patternFill patternType="solid">
        <fgColor rgb="FFD9EAD3"/>
        <bgColor rgb="FFD9EAD3"/>
      </patternFill>
    </fill>
  </fills>
  <borders count="33">
    <border/>
    <border>
      <right style="medium">
        <color rgb="FF000000"/>
      </right>
    </border>
    <border>
      <right style="thin">
        <color rgb="FF000000"/>
      </right>
    </border>
    <border>
      <left style="thin">
        <color rgb="FF284E3F"/>
      </left>
      <right style="medium">
        <color rgb="FF000000"/>
      </right>
      <top>
        <color rgb="FF284E3F"/>
      </top>
      <bottom style="thin">
        <color rgb="FF284E3F"/>
      </bottom>
    </border>
    <border>
      <left style="thin">
        <color rgb="FFCCD9D4"/>
      </left>
      <right style="thin">
        <color rgb="FFCCD9D4"/>
      </right>
      <top>
        <color rgb="FF284E3F"/>
      </top>
      <bottom style="thin">
        <color rgb="FF284E3F"/>
      </bottom>
    </border>
    <border>
      <left style="thin">
        <color rgb="FFCCD9D4"/>
      </left>
      <right style="medium">
        <color rgb="FF000000"/>
      </right>
      <top>
        <color rgb="FF284E3F"/>
      </top>
      <bottom style="thin">
        <color rgb="FF284E3F"/>
      </bottom>
    </border>
    <border>
      <left style="thin">
        <color rgb="FF57BB8A"/>
      </left>
      <right style="thin">
        <color rgb="FF57BB8A"/>
      </right>
      <top>
        <color rgb="FF284E3F"/>
      </top>
      <bottom style="thin">
        <color rgb="FF284E3F"/>
      </bottom>
    </border>
    <border>
      <left style="thin">
        <color rgb="FF4A535C"/>
      </left>
      <right style="thin">
        <color rgb="FF4A535C"/>
      </right>
      <top style="thin">
        <color rgb="FF4A535C"/>
      </top>
      <bottom style="thin">
        <color rgb="FF4A535C"/>
      </bottom>
    </border>
    <border>
      <left style="thin">
        <color rgb="FFD9D9D9"/>
      </left>
      <top style="thin">
        <color rgb="FFD9D9D9"/>
      </top>
      <bottom style="thin">
        <color rgb="FFD9D9D9"/>
      </bottom>
    </border>
    <border>
      <left style="thin">
        <color rgb="FFB0B0B0"/>
      </left>
    </border>
    <border>
      <top style="thin">
        <color rgb="FF000000"/>
      </top>
    </border>
    <border>
      <left style="thin">
        <color rgb="FF000000"/>
      </left>
    </border>
    <border>
      <left style="thin">
        <color rgb="FFD9D9D9"/>
      </left>
      <right style="thin">
        <color rgb="FF000000"/>
      </right>
      <top style="thin">
        <color rgb="FFD9D9D9"/>
      </top>
      <bottom style="thin">
        <color rgb="FFD9D9D9"/>
      </bottom>
    </border>
    <border>
      <left style="thin">
        <color rgb="FFD9D9D9"/>
      </left>
      <right style="thin">
        <color rgb="FF000000"/>
      </right>
      <top style="thin">
        <color rgb="FFD9D9D9"/>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8C352D"/>
      </bottom>
    </border>
    <border>
      <left style="thin">
        <color rgb="FFD9D9D9"/>
      </left>
      <right style="thin">
        <color rgb="FFD9D9D9"/>
      </right>
      <top style="thin">
        <color rgb="FFD9D9D9"/>
      </top>
      <bottom style="thin">
        <color rgb="FF3E4791"/>
      </bottom>
    </border>
    <border>
      <left style="thin">
        <color rgb="FFD9D9D9"/>
      </left>
      <right style="thin">
        <color rgb="FF442F65"/>
      </right>
      <top style="thin">
        <color rgb="FFD9D9D9"/>
      </top>
      <bottom style="thin">
        <color rgb="FFD9D9D9"/>
      </bottom>
    </border>
    <border>
      <left style="thin">
        <color rgb="FFD9D9D9"/>
      </left>
      <right style="thin">
        <color rgb="FF442F65"/>
      </right>
      <top style="thin">
        <color rgb="FFD9D9D9"/>
      </top>
      <bottom style="thin">
        <color rgb="FF442F65"/>
      </bottom>
    </border>
    <border>
      <left style="thin">
        <color rgb="FFD9D9D9"/>
      </left>
      <right style="thin">
        <color rgb="FF3E4791"/>
      </right>
      <top style="thin">
        <color rgb="FFD9D9D9"/>
      </top>
      <bottom style="thin">
        <color rgb="FFD9D9D9"/>
      </bottom>
    </border>
    <border>
      <left style="thin">
        <color rgb="FFD9D9D9"/>
      </left>
      <right style="thin">
        <color rgb="FF3E4791"/>
      </right>
      <top style="thin">
        <color rgb="FFD9D9D9"/>
      </top>
      <bottom style="thin">
        <color rgb="FF3E4791"/>
      </bottom>
    </border>
    <border>
      <left style="thin">
        <color rgb="FF000000"/>
      </left>
      <right style="thin">
        <color rgb="FF000000"/>
      </right>
    </border>
    <border>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17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1" fillId="0" fontId="3" numFmtId="0" xfId="0" applyAlignment="1" applyBorder="1" applyFont="1">
      <alignment readingOrder="0" shrinkToFit="0" vertical="center" wrapText="0"/>
    </xf>
    <xf borderId="0" fillId="0" fontId="2" numFmtId="0" xfId="0" applyAlignment="1" applyFont="1">
      <alignment shrinkToFit="0" vertical="center" wrapText="0"/>
    </xf>
    <xf borderId="1" fillId="0" fontId="2" numFmtId="0" xfId="0" applyAlignment="1" applyBorder="1" applyFont="1">
      <alignment shrinkToFit="0" vertical="center" wrapText="0"/>
    </xf>
    <xf borderId="0" fillId="0" fontId="2" numFmtId="1" xfId="0" applyAlignment="1" applyFont="1" applyNumberFormat="1">
      <alignment shrinkToFit="0" vertical="center" wrapText="0"/>
    </xf>
    <xf borderId="0" fillId="0" fontId="2" numFmtId="164" xfId="0" applyAlignment="1" applyFont="1" applyNumberFormat="1">
      <alignment shrinkToFit="0" vertical="center" wrapText="0"/>
    </xf>
    <xf borderId="2" fillId="0" fontId="2" numFmtId="0" xfId="0" applyAlignment="1" applyBorder="1" applyFont="1">
      <alignment readingOrder="0" shrinkToFit="0" vertical="center" wrapText="0"/>
    </xf>
    <xf borderId="0" fillId="0" fontId="4" numFmtId="0" xfId="0" applyAlignment="1" applyFont="1">
      <alignment horizontal="left" shrinkToFit="0" vertical="center" wrapText="0"/>
    </xf>
    <xf borderId="0" fillId="0" fontId="4" numFmtId="0" xfId="0" applyAlignment="1" applyFont="1">
      <alignment horizontal="right" shrinkToFit="0" vertical="center" wrapText="0"/>
    </xf>
    <xf borderId="0" fillId="0" fontId="2" numFmtId="0" xfId="0" applyAlignment="1" applyFont="1">
      <alignment horizontal="left" shrinkToFit="0" vertical="center" wrapText="0"/>
    </xf>
    <xf borderId="0" fillId="0" fontId="2" numFmtId="0" xfId="0" applyAlignment="1" applyFont="1">
      <alignment horizontal="right" shrinkToFit="0" vertical="center" wrapText="0"/>
    </xf>
    <xf borderId="0" fillId="0" fontId="2" numFmtId="2" xfId="0" applyAlignment="1" applyFont="1" applyNumberFormat="1">
      <alignment horizontal="right" readingOrder="0" shrinkToFit="0" vertical="center" wrapText="0"/>
    </xf>
    <xf borderId="0" fillId="0" fontId="2" numFmtId="10" xfId="0" applyAlignment="1" applyFont="1" applyNumberFormat="1">
      <alignment horizontal="right" shrinkToFit="0" vertical="center" wrapText="0"/>
    </xf>
    <xf borderId="0" fillId="0" fontId="2" numFmtId="165" xfId="0" applyAlignment="1" applyFont="1" applyNumberFormat="1">
      <alignment horizontal="right" readingOrder="0" shrinkToFit="0" vertical="center" wrapText="0"/>
    </xf>
    <xf borderId="0" fillId="0" fontId="2" numFmtId="1" xfId="0" applyAlignment="1" applyFont="1" applyNumberFormat="1">
      <alignment horizontal="right" shrinkToFit="0" vertical="center" wrapText="0"/>
    </xf>
    <xf borderId="2" fillId="0" fontId="2" numFmtId="0" xfId="0" applyAlignment="1" applyBorder="1" applyFont="1">
      <alignment readingOrder="0" shrinkToFit="0" vertical="center" wrapText="0"/>
    </xf>
    <xf borderId="0" fillId="0" fontId="2" numFmtId="0" xfId="0" applyAlignment="1" applyFont="1">
      <alignment horizontal="left" shrinkToFit="0" vertical="center" wrapText="0"/>
    </xf>
    <xf borderId="0" fillId="0" fontId="2" numFmtId="165" xfId="0" applyAlignment="1" applyFont="1" applyNumberFormat="1">
      <alignment horizontal="right" shrinkToFit="0" vertical="center" wrapText="0"/>
    </xf>
    <xf borderId="3" fillId="2" fontId="5" numFmtId="0" xfId="0" applyAlignment="1" applyBorder="1" applyFill="1" applyFont="1">
      <alignment shrinkToFit="0" vertical="center" wrapText="0"/>
    </xf>
    <xf borderId="4" fillId="2" fontId="6" numFmtId="0" xfId="0" applyAlignment="1" applyBorder="1" applyFont="1">
      <alignment horizontal="right" shrinkToFit="0" vertical="center" wrapText="0"/>
    </xf>
    <xf borderId="5" fillId="2" fontId="6" numFmtId="0" xfId="0" applyAlignment="1" applyBorder="1" applyFont="1">
      <alignment horizontal="right" shrinkToFit="0" vertical="center" wrapText="0"/>
    </xf>
    <xf borderId="6" fillId="3" fontId="6" numFmtId="0" xfId="0" applyAlignment="1" applyBorder="1" applyFill="1" applyFont="1">
      <alignment horizontal="right" shrinkToFit="0" vertical="center" wrapText="0"/>
    </xf>
    <xf borderId="0" fillId="0" fontId="2" numFmtId="0" xfId="0" applyAlignment="1" applyFont="1">
      <alignment horizontal="left" readingOrder="0" shrinkToFit="0" vertical="center" wrapText="0"/>
    </xf>
    <xf borderId="0" fillId="0" fontId="2" numFmtId="49" xfId="0" applyAlignment="1" applyFont="1" applyNumberFormat="1">
      <alignment horizontal="left" readingOrder="0" shrinkToFit="0" vertical="center" wrapText="0"/>
    </xf>
    <xf borderId="0" fillId="0" fontId="2" numFmtId="0" xfId="0" applyAlignment="1" applyFont="1">
      <alignment horizontal="left" readingOrder="0" shrinkToFit="0" vertical="center" wrapText="0"/>
    </xf>
    <xf borderId="0" fillId="0" fontId="2" numFmtId="49" xfId="0" applyAlignment="1" applyFont="1" applyNumberFormat="1">
      <alignment horizontal="left" readingOrder="0" shrinkToFit="0" vertical="center" wrapText="0"/>
    </xf>
    <xf borderId="0" fillId="4" fontId="7" numFmtId="49" xfId="0" applyAlignment="1" applyFill="1" applyFont="1" applyNumberFormat="1">
      <alignment horizontal="left" readingOrder="0" shrinkToFit="0" vertical="center" wrapText="0"/>
    </xf>
    <xf borderId="7" fillId="4" fontId="7" numFmtId="49" xfId="0" applyAlignment="1" applyBorder="1" applyFont="1" applyNumberFormat="1">
      <alignment horizontal="left" readingOrder="0" shrinkToFit="0" vertical="center" wrapText="0"/>
    </xf>
    <xf borderId="1" fillId="0" fontId="3" numFmtId="0" xfId="0" applyAlignment="1" applyBorder="1" applyFont="1">
      <alignment readingOrder="0" shrinkToFit="0" vertical="center" wrapText="0"/>
    </xf>
    <xf borderId="0" fillId="0" fontId="2" numFmtId="2" xfId="0" applyAlignment="1" applyFont="1" applyNumberFormat="1">
      <alignment shrinkToFit="0" vertical="center" wrapText="0"/>
    </xf>
    <xf borderId="2" fillId="0" fontId="2" numFmtId="4" xfId="0" applyAlignment="1" applyBorder="1" applyFont="1" applyNumberFormat="1">
      <alignment shrinkToFit="0" vertical="center" wrapText="0"/>
    </xf>
    <xf borderId="0" fillId="0" fontId="2" numFmtId="2" xfId="0" applyAlignment="1" applyFont="1" applyNumberFormat="1">
      <alignment readingOrder="0" shrinkToFit="0" vertical="center" wrapText="0"/>
    </xf>
    <xf borderId="0" fillId="5" fontId="6" numFmtId="2" xfId="0" applyAlignment="1" applyFill="1" applyFont="1" applyNumberFormat="1">
      <alignment horizontal="right" shrinkToFit="0" vertical="center" wrapText="0"/>
    </xf>
    <xf borderId="8" fillId="5" fontId="6" numFmtId="2" xfId="0" applyAlignment="1" applyBorder="1" applyFont="1" applyNumberFormat="1">
      <alignment horizontal="right" shrinkToFit="0" vertical="center" wrapText="0"/>
    </xf>
    <xf borderId="0" fillId="0" fontId="2" numFmtId="165" xfId="0" applyAlignment="1" applyFont="1" applyNumberFormat="1">
      <alignment readingOrder="0" shrinkToFit="0" vertical="center" wrapText="0"/>
    </xf>
    <xf borderId="2" fillId="0" fontId="2" numFmtId="165" xfId="0" applyAlignment="1" applyBorder="1" applyFont="1" applyNumberFormat="1">
      <alignment readingOrder="0" shrinkToFit="0" vertical="center" wrapText="0"/>
    </xf>
    <xf borderId="2" fillId="0" fontId="2" numFmtId="4" xfId="0" applyAlignment="1" applyBorder="1" applyFont="1" applyNumberFormat="1">
      <alignment readingOrder="0" shrinkToFit="0" vertical="center" wrapText="0"/>
    </xf>
    <xf borderId="0" fillId="0" fontId="3"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2" fillId="0" fontId="2" numFmtId="0" xfId="0" applyAlignment="1" applyBorder="1" applyFont="1">
      <alignment shrinkToFit="0" vertical="center" wrapText="0"/>
    </xf>
    <xf borderId="0" fillId="0" fontId="2" numFmtId="0" xfId="0" applyAlignment="1" applyFont="1">
      <alignment shrinkToFit="0" vertical="center" wrapText="0"/>
    </xf>
    <xf borderId="2" fillId="0" fontId="2" numFmtId="0" xfId="0" applyAlignment="1" applyBorder="1" applyFont="1">
      <alignment readingOrder="0" shrinkToFit="0" vertical="center" wrapText="0"/>
    </xf>
    <xf borderId="0" fillId="0" fontId="2" numFmtId="10" xfId="0" applyAlignment="1" applyFont="1" applyNumberFormat="1">
      <alignment shrinkToFit="0" vertical="center" wrapText="0"/>
    </xf>
    <xf borderId="0" fillId="0" fontId="2" numFmtId="10" xfId="0" applyAlignment="1" applyFont="1" applyNumberFormat="1">
      <alignment readingOrder="0" shrinkToFit="0" vertical="center" wrapText="0"/>
    </xf>
    <xf borderId="0" fillId="0" fontId="2" numFmtId="0" xfId="0" applyAlignment="1" applyFont="1">
      <alignment shrinkToFit="0" vertical="center" wrapText="0"/>
    </xf>
    <xf borderId="0" fillId="6" fontId="2" numFmtId="0" xfId="0" applyAlignment="1" applyFill="1" applyFont="1">
      <alignment readingOrder="0" vertical="center"/>
    </xf>
    <xf borderId="2" fillId="6" fontId="2" numFmtId="0" xfId="0" applyAlignment="1" applyBorder="1" applyFont="1">
      <alignment readingOrder="0" shrinkToFit="0" vertical="center" wrapText="0"/>
    </xf>
    <xf borderId="9" fillId="0" fontId="2" numFmtId="10" xfId="0" applyAlignment="1" applyBorder="1" applyFont="1" applyNumberFormat="1">
      <alignment shrinkToFit="0" vertical="center" wrapText="0"/>
    </xf>
    <xf borderId="0" fillId="0" fontId="2" numFmtId="10" xfId="0" applyAlignment="1" applyFont="1" applyNumberFormat="1">
      <alignment shrinkToFit="0" vertical="center" wrapText="0"/>
    </xf>
    <xf borderId="0" fillId="0" fontId="2" numFmtId="0" xfId="0" applyAlignment="1" applyFont="1">
      <alignment readingOrder="0" shrinkToFit="0" vertical="center" wrapText="0"/>
    </xf>
    <xf borderId="0" fillId="7" fontId="2" numFmtId="0" xfId="0" applyAlignment="1" applyFill="1" applyFont="1">
      <alignment horizontal="center" readingOrder="0" vertical="center"/>
    </xf>
    <xf borderId="2" fillId="7" fontId="2" numFmtId="0" xfId="0" applyAlignment="1" applyBorder="1" applyFont="1">
      <alignment readingOrder="0" shrinkToFit="0" vertical="center" wrapText="0"/>
    </xf>
    <xf borderId="10" fillId="0" fontId="3" numFmtId="0" xfId="0" applyAlignment="1" applyBorder="1" applyFont="1">
      <alignment readingOrder="0"/>
    </xf>
    <xf borderId="10" fillId="0" fontId="2" numFmtId="0" xfId="0" applyBorder="1" applyFont="1"/>
    <xf borderId="10" fillId="0" fontId="2" numFmtId="10" xfId="0" applyBorder="1" applyFont="1" applyNumberFormat="1"/>
    <xf borderId="10" fillId="0" fontId="2" numFmtId="10" xfId="0" applyAlignment="1" applyBorder="1" applyFont="1" applyNumberFormat="1">
      <alignment readingOrder="0"/>
    </xf>
    <xf borderId="0" fillId="0" fontId="2" numFmtId="164" xfId="0" applyAlignment="1" applyFont="1" applyNumberFormat="1">
      <alignment shrinkToFit="0" vertical="center" wrapText="0"/>
    </xf>
    <xf borderId="0" fillId="0" fontId="2" numFmtId="165" xfId="0" applyAlignment="1" applyFont="1" applyNumberFormat="1">
      <alignment shrinkToFit="0" vertical="center" wrapText="0"/>
    </xf>
    <xf borderId="1" fillId="0" fontId="2" numFmtId="2" xfId="0" applyAlignment="1" applyBorder="1" applyFont="1" applyNumberFormat="1">
      <alignment shrinkToFit="0" vertical="center" wrapText="0"/>
    </xf>
    <xf borderId="11" fillId="0" fontId="2" numFmtId="2" xfId="0" applyAlignment="1" applyBorder="1" applyFont="1" applyNumberFormat="1">
      <alignment readingOrder="0" shrinkToFit="0" vertical="center" wrapText="0"/>
    </xf>
    <xf borderId="0" fillId="5" fontId="6" numFmtId="2" xfId="0" applyAlignment="1" applyFont="1" applyNumberFormat="1">
      <alignment shrinkToFit="0" vertical="center" wrapText="0"/>
    </xf>
    <xf borderId="12" fillId="8" fontId="6" numFmtId="2" xfId="0" applyAlignment="1" applyBorder="1" applyFill="1" applyFont="1" applyNumberFormat="1">
      <alignment shrinkToFit="0" vertical="center" wrapText="0"/>
    </xf>
    <xf borderId="13" fillId="8" fontId="6" numFmtId="2" xfId="0" applyAlignment="1" applyBorder="1" applyFont="1" applyNumberFormat="1">
      <alignment shrinkToFit="0" vertical="center" wrapText="0"/>
    </xf>
    <xf borderId="0" fillId="0" fontId="2" numFmtId="0" xfId="0" applyAlignment="1" applyFont="1">
      <alignment horizontal="left" readingOrder="0" shrinkToFit="0" vertical="center" wrapText="0"/>
    </xf>
    <xf borderId="0" fillId="0" fontId="2" numFmtId="49" xfId="0" applyAlignment="1" applyFont="1" applyNumberFormat="1">
      <alignment horizontal="left" readingOrder="0" shrinkToFit="0" vertical="center" wrapText="0"/>
    </xf>
    <xf borderId="2" fillId="0" fontId="3" numFmtId="0" xfId="0" applyAlignment="1" applyBorder="1" applyFont="1">
      <alignment readingOrder="0" shrinkToFit="0" vertical="center" wrapText="0"/>
    </xf>
    <xf borderId="2" fillId="0" fontId="2" numFmtId="0" xfId="0" applyAlignment="1" applyBorder="1" applyFont="1">
      <alignment shrinkToFit="0" vertical="center" wrapText="0"/>
    </xf>
    <xf borderId="0" fillId="0" fontId="2" numFmtId="0" xfId="0" applyAlignment="1" applyFont="1">
      <alignment shrinkToFit="0" vertical="center" wrapText="0"/>
    </xf>
    <xf borderId="2" fillId="9" fontId="2" numFmtId="0" xfId="0" applyAlignment="1" applyBorder="1" applyFill="1" applyFont="1">
      <alignment readingOrder="0" shrinkToFit="0" vertical="center" wrapText="0"/>
    </xf>
    <xf borderId="0" fillId="9" fontId="2" numFmtId="0" xfId="0" applyAlignment="1" applyFont="1">
      <alignment shrinkToFit="0" vertical="center" wrapText="0"/>
    </xf>
    <xf borderId="2" fillId="10" fontId="2" numFmtId="0" xfId="0" applyAlignment="1" applyBorder="1" applyFill="1" applyFont="1">
      <alignment readingOrder="0" shrinkToFit="0" vertical="center" wrapText="0"/>
    </xf>
    <xf borderId="0" fillId="10" fontId="2" numFmtId="0" xfId="0" applyAlignment="1" applyFont="1">
      <alignment shrinkToFit="0" vertical="center" wrapText="0"/>
    </xf>
    <xf borderId="14" fillId="0" fontId="3" numFmtId="0" xfId="0" applyAlignment="1" applyBorder="1" applyFont="1">
      <alignment readingOrder="0"/>
    </xf>
    <xf borderId="15" fillId="0" fontId="3" numFmtId="0" xfId="0" applyBorder="1" applyFont="1"/>
    <xf borderId="16" fillId="0" fontId="3" numFmtId="0" xfId="0" applyAlignment="1" applyBorder="1" applyFont="1">
      <alignment readingOrder="0"/>
    </xf>
    <xf borderId="0" fillId="8" fontId="2" numFmtId="0" xfId="0" applyFont="1"/>
    <xf borderId="0" fillId="11" fontId="8" numFmtId="0" xfId="0" applyAlignment="1" applyFill="1" applyFont="1">
      <alignment readingOrder="0"/>
    </xf>
    <xf borderId="0" fillId="11" fontId="9" numFmtId="0" xfId="0" applyFont="1"/>
    <xf borderId="0" fillId="0" fontId="9" numFmtId="0" xfId="0" applyFont="1"/>
    <xf borderId="0" fillId="8" fontId="9" numFmtId="0" xfId="0" applyFont="1"/>
    <xf borderId="0" fillId="0" fontId="3" numFmtId="0" xfId="0" applyAlignment="1" applyFont="1">
      <alignment readingOrder="0"/>
    </xf>
    <xf borderId="0" fillId="0" fontId="10" numFmtId="0" xfId="0" applyAlignment="1" applyFont="1">
      <alignment readingOrder="0"/>
    </xf>
    <xf borderId="17" fillId="12" fontId="3" numFmtId="0" xfId="0" applyAlignment="1" applyBorder="1" applyFill="1" applyFont="1">
      <alignment horizontal="center" readingOrder="0"/>
    </xf>
    <xf borderId="17" fillId="0" fontId="3" numFmtId="0" xfId="0" applyAlignment="1" applyBorder="1" applyFont="1">
      <alignment horizontal="center" readingOrder="0"/>
    </xf>
    <xf borderId="0" fillId="0" fontId="11" numFmtId="0" xfId="0" applyAlignment="1" applyFont="1">
      <alignment readingOrder="0"/>
    </xf>
    <xf borderId="0" fillId="8" fontId="12" numFmtId="0" xfId="0" applyAlignment="1" applyFont="1">
      <alignment horizontal="center" vertical="bottom"/>
    </xf>
    <xf borderId="0" fillId="0" fontId="2" numFmtId="49" xfId="0" applyAlignment="1" applyFont="1" applyNumberFormat="1">
      <alignment horizontal="left" readingOrder="0" shrinkToFit="0" vertical="center" wrapText="0"/>
    </xf>
    <xf borderId="0" fillId="0" fontId="3" numFmtId="0" xfId="0" applyAlignment="1" applyFont="1">
      <alignment horizontal="center"/>
    </xf>
    <xf borderId="0" fillId="8" fontId="13" numFmtId="0" xfId="0" applyAlignment="1" applyFont="1">
      <alignment horizontal="right" vertical="bottom"/>
    </xf>
    <xf borderId="18" fillId="8" fontId="6" numFmtId="0" xfId="0" applyAlignment="1" applyBorder="1" applyFont="1">
      <alignment horizontal="right" shrinkToFit="0" vertical="center" wrapText="0"/>
    </xf>
    <xf borderId="0" fillId="0" fontId="2" numFmtId="0" xfId="0" applyAlignment="1" applyFont="1">
      <alignment shrinkToFit="0" vertical="center" wrapText="0"/>
    </xf>
    <xf borderId="19" fillId="5" fontId="6" numFmtId="0" xfId="0" applyAlignment="1" applyBorder="1" applyFont="1">
      <alignment horizontal="right" shrinkToFit="0" vertical="center" wrapText="0"/>
    </xf>
    <xf borderId="20" fillId="5" fontId="6" numFmtId="0" xfId="0" applyAlignment="1" applyBorder="1" applyFont="1">
      <alignment horizontal="right" shrinkToFit="0" vertical="center" wrapText="0"/>
    </xf>
    <xf borderId="0" fillId="13" fontId="2" numFmtId="0" xfId="0" applyFill="1" applyFont="1"/>
    <xf borderId="0" fillId="13" fontId="3" numFmtId="0" xfId="0" applyAlignment="1" applyFont="1">
      <alignment horizontal="center"/>
    </xf>
    <xf borderId="0" fillId="0" fontId="2" numFmtId="49" xfId="0" applyAlignment="1" applyFont="1" applyNumberFormat="1">
      <alignment readingOrder="0"/>
    </xf>
    <xf borderId="0" fillId="0" fontId="2" numFmtId="0" xfId="0" applyAlignment="1" applyFont="1">
      <alignment readingOrder="0" shrinkToFit="0" vertical="center" wrapText="0"/>
    </xf>
    <xf borderId="0" fillId="8" fontId="13" numFmtId="0" xfId="0" applyAlignment="1" applyFont="1">
      <alignment vertical="bottom"/>
    </xf>
    <xf borderId="0" fillId="13" fontId="1" numFmtId="0" xfId="0" applyAlignment="1" applyFont="1">
      <alignment vertical="bottom"/>
    </xf>
    <xf borderId="0" fillId="0" fontId="12" numFmtId="0" xfId="0" applyAlignment="1" applyFont="1">
      <alignment readingOrder="0" vertical="bottom"/>
    </xf>
    <xf borderId="0" fillId="0" fontId="1" numFmtId="0" xfId="0" applyAlignment="1" applyFont="1">
      <alignment vertical="bottom"/>
    </xf>
    <xf borderId="17" fillId="12" fontId="12" numFmtId="0" xfId="0" applyAlignment="1" applyBorder="1" applyFont="1">
      <alignment horizontal="center" vertical="bottom"/>
    </xf>
    <xf borderId="0" fillId="0" fontId="1" numFmtId="49" xfId="0" applyAlignment="1" applyFont="1" applyNumberFormat="1">
      <alignment vertical="bottom"/>
    </xf>
    <xf borderId="0" fillId="0" fontId="2" numFmtId="0" xfId="0" applyAlignment="1" applyFont="1">
      <alignment horizontal="center" readingOrder="0"/>
    </xf>
    <xf borderId="0" fillId="0" fontId="14" numFmtId="0" xfId="0" applyAlignment="1" applyFont="1">
      <alignment horizontal="left" readingOrder="0" shrinkToFit="0" vertical="center" wrapText="0"/>
    </xf>
    <xf borderId="21" fillId="8" fontId="1" numFmtId="0" xfId="0" applyAlignment="1" applyBorder="1" applyFont="1">
      <alignment shrinkToFit="0" vertical="center" wrapText="0"/>
    </xf>
    <xf borderId="22" fillId="5" fontId="1" numFmtId="0" xfId="0" applyAlignment="1" applyBorder="1" applyFont="1">
      <alignment shrinkToFit="0" vertical="center" wrapText="0"/>
    </xf>
    <xf borderId="17" fillId="0" fontId="3" numFmtId="166" xfId="0" applyAlignment="1" applyBorder="1" applyFont="1" applyNumberFormat="1">
      <alignment horizontal="center" readingOrder="0"/>
    </xf>
    <xf borderId="17" fillId="0" fontId="1" numFmtId="0" xfId="0" applyAlignment="1" applyBorder="1" applyFont="1">
      <alignment vertical="bottom"/>
    </xf>
    <xf borderId="0" fillId="11" fontId="1" numFmtId="0" xfId="0" applyAlignment="1" applyFont="1">
      <alignment vertical="bottom"/>
    </xf>
    <xf borderId="0" fillId="11" fontId="15" numFmtId="0" xfId="0" applyAlignment="1" applyFont="1">
      <alignment readingOrder="0" vertical="bottom"/>
    </xf>
    <xf borderId="0" fillId="0" fontId="12" numFmtId="0" xfId="0" applyAlignment="1" applyFont="1">
      <alignment horizontal="right" readingOrder="0" vertical="bottom"/>
    </xf>
    <xf borderId="17" fillId="0" fontId="1" numFmtId="166" xfId="0" applyAlignment="1" applyBorder="1" applyFont="1" applyNumberFormat="1">
      <alignment vertical="bottom"/>
    </xf>
    <xf borderId="0" fillId="0" fontId="14" numFmtId="49" xfId="0" applyAlignment="1" applyFont="1" applyNumberFormat="1">
      <alignment horizontal="left" readingOrder="0" shrinkToFit="0" vertical="center" wrapText="0"/>
    </xf>
    <xf borderId="23" fillId="8" fontId="1" numFmtId="0" xfId="0" applyAlignment="1" applyBorder="1" applyFont="1">
      <alignment shrinkToFit="0" vertical="center" wrapText="0"/>
    </xf>
    <xf borderId="24" fillId="5" fontId="1" numFmtId="0" xfId="0" applyAlignment="1" applyBorder="1" applyFont="1">
      <alignment shrinkToFit="0" vertical="center" wrapText="0"/>
    </xf>
    <xf borderId="0" fillId="0" fontId="2" numFmtId="0" xfId="0" applyAlignment="1" applyFont="1">
      <alignment readingOrder="0"/>
    </xf>
    <xf borderId="0" fillId="0" fontId="2" numFmtId="0" xfId="0" applyFont="1"/>
    <xf borderId="0" fillId="0" fontId="2" numFmtId="9" xfId="0" applyFont="1" applyNumberFormat="1"/>
    <xf borderId="0" fillId="0" fontId="2" numFmtId="0" xfId="0" applyFont="1"/>
    <xf borderId="25" fillId="0" fontId="2" numFmtId="0" xfId="0" applyBorder="1" applyFont="1"/>
    <xf borderId="0" fillId="0" fontId="2" numFmtId="1" xfId="0" applyAlignment="1" applyFont="1" applyNumberFormat="1">
      <alignment readingOrder="0"/>
    </xf>
    <xf borderId="26" fillId="0" fontId="2" numFmtId="0" xfId="0" applyBorder="1" applyFont="1"/>
    <xf borderId="26" fillId="0" fontId="2" numFmtId="0" xfId="0" applyAlignment="1" applyBorder="1" applyFont="1">
      <alignment readingOrder="0"/>
    </xf>
    <xf borderId="27" fillId="0" fontId="2" numFmtId="0" xfId="0" applyBorder="1" applyFont="1"/>
    <xf borderId="10" fillId="0" fontId="2" numFmtId="0" xfId="0" applyAlignment="1" applyBorder="1" applyFont="1">
      <alignment readingOrder="0"/>
    </xf>
    <xf borderId="28" fillId="0" fontId="2" numFmtId="0" xfId="0" applyBorder="1" applyFont="1"/>
    <xf borderId="29" fillId="0" fontId="16" numFmtId="0" xfId="0" applyAlignment="1" applyBorder="1" applyFont="1">
      <alignment horizontal="center" readingOrder="0" vertical="bottom"/>
    </xf>
    <xf borderId="10" fillId="0" fontId="17" numFmtId="0" xfId="0" applyBorder="1" applyFont="1"/>
    <xf borderId="30" fillId="0" fontId="17" numFmtId="0" xfId="0" applyBorder="1" applyFont="1"/>
    <xf borderId="11" fillId="0" fontId="1" numFmtId="0" xfId="0" applyAlignment="1" applyBorder="1" applyFont="1">
      <alignment vertical="bottom"/>
    </xf>
    <xf borderId="0" fillId="0" fontId="1" numFmtId="0" xfId="0" applyAlignment="1" applyFont="1">
      <alignment readingOrder="0" vertical="bottom"/>
    </xf>
    <xf borderId="2" fillId="0" fontId="1" numFmtId="0" xfId="0" applyAlignment="1" applyBorder="1" applyFont="1">
      <alignment vertical="bottom"/>
    </xf>
    <xf borderId="11" fillId="0" fontId="12" numFmtId="0" xfId="0" applyAlignment="1" applyBorder="1" applyFont="1">
      <alignment horizontal="center" readingOrder="0" vertical="bottom"/>
    </xf>
    <xf borderId="2" fillId="0" fontId="17" numFmtId="0" xfId="0" applyBorder="1" applyFont="1"/>
    <xf borderId="29" fillId="0" fontId="1" numFmtId="0" xfId="0" applyAlignment="1" applyBorder="1" applyFont="1">
      <alignment vertical="bottom"/>
    </xf>
    <xf borderId="10" fillId="0" fontId="1" numFmtId="0" xfId="0" applyAlignment="1" applyBorder="1" applyFont="1">
      <alignment vertical="bottom"/>
    </xf>
    <xf borderId="30" fillId="0" fontId="1" numFmtId="0" xfId="0" applyAlignment="1" applyBorder="1" applyFont="1">
      <alignment vertical="bottom"/>
    </xf>
    <xf borderId="11" fillId="0" fontId="1" numFmtId="0" xfId="0" applyAlignment="1" applyBorder="1" applyFont="1">
      <alignment horizontal="right" readingOrder="0" vertical="bottom"/>
    </xf>
    <xf borderId="0" fillId="0" fontId="2" numFmtId="0" xfId="0" applyAlignment="1" applyFont="1">
      <alignment readingOrder="0" vertical="center"/>
    </xf>
    <xf borderId="2" fillId="0" fontId="2" numFmtId="166" xfId="0" applyAlignment="1" applyBorder="1" applyFont="1" applyNumberFormat="1">
      <alignment readingOrder="0"/>
    </xf>
    <xf borderId="0" fillId="0" fontId="2" numFmtId="0" xfId="0" applyAlignment="1" applyFont="1">
      <alignment horizontal="center" readingOrder="0" shrinkToFit="0" textRotation="180" vertical="center" wrapText="1"/>
    </xf>
    <xf borderId="0" fillId="14" fontId="1" numFmtId="0" xfId="0" applyAlignment="1" applyFill="1" applyFont="1">
      <alignment readingOrder="0" vertical="bottom"/>
    </xf>
    <xf borderId="0" fillId="15" fontId="1" numFmtId="0" xfId="0" applyAlignment="1" applyFill="1" applyFont="1">
      <alignment vertical="bottom"/>
    </xf>
    <xf borderId="0" fillId="0" fontId="2" numFmtId="0" xfId="0" applyAlignment="1" applyFont="1">
      <alignment horizontal="center" readingOrder="0" vertical="center"/>
    </xf>
    <xf borderId="31" fillId="0" fontId="1" numFmtId="0" xfId="0" applyAlignment="1" applyBorder="1" applyFont="1">
      <alignment vertical="bottom"/>
    </xf>
    <xf borderId="26" fillId="0" fontId="1" numFmtId="0" xfId="0" applyAlignment="1" applyBorder="1" applyFont="1">
      <alignment vertical="bottom"/>
    </xf>
    <xf borderId="26" fillId="16" fontId="1" numFmtId="0" xfId="0" applyAlignment="1" applyBorder="1" applyFill="1" applyFont="1">
      <alignment readingOrder="0" vertical="bottom"/>
    </xf>
    <xf borderId="32" fillId="0" fontId="1" numFmtId="0" xfId="0" applyAlignment="1" applyBorder="1" applyFont="1">
      <alignment vertical="bottom"/>
    </xf>
    <xf borderId="0" fillId="0" fontId="18" numFmtId="0" xfId="0" applyAlignment="1" applyFont="1">
      <alignment horizontal="center" readingOrder="0"/>
    </xf>
    <xf borderId="29" fillId="0" fontId="19" numFmtId="0" xfId="0" applyAlignment="1" applyBorder="1" applyFont="1">
      <alignment horizontal="center" readingOrder="0"/>
    </xf>
    <xf borderId="11" fillId="0" fontId="2" numFmtId="0" xfId="0" applyBorder="1" applyFont="1"/>
    <xf borderId="2" fillId="0" fontId="2" numFmtId="0" xfId="0" applyBorder="1" applyFont="1"/>
    <xf borderId="0" fillId="6" fontId="2" numFmtId="0" xfId="0" applyAlignment="1" applyFont="1">
      <alignment readingOrder="0"/>
    </xf>
    <xf borderId="11" fillId="0" fontId="3" numFmtId="0" xfId="0" applyAlignment="1" applyBorder="1" applyFont="1">
      <alignment horizontal="center" readingOrder="0"/>
    </xf>
    <xf borderId="29" fillId="0" fontId="2" numFmtId="0" xfId="0" applyAlignment="1" applyBorder="1" applyFont="1">
      <alignment readingOrder="0"/>
    </xf>
    <xf borderId="30" fillId="0" fontId="2" numFmtId="0" xfId="0" applyAlignment="1" applyBorder="1" applyFont="1">
      <alignment readingOrder="0"/>
    </xf>
    <xf borderId="11" fillId="0" fontId="2" numFmtId="0" xfId="0" applyAlignment="1" applyBorder="1" applyFont="1">
      <alignment readingOrder="0"/>
    </xf>
    <xf borderId="2" fillId="0" fontId="2" numFmtId="0" xfId="0" applyAlignment="1" applyBorder="1" applyFont="1">
      <alignment readingOrder="0"/>
    </xf>
    <xf borderId="0" fillId="0" fontId="2" numFmtId="0" xfId="0" applyAlignment="1" applyFont="1">
      <alignment readingOrder="0"/>
    </xf>
    <xf borderId="31" fillId="0" fontId="2" numFmtId="0" xfId="0" applyBorder="1" applyFont="1"/>
    <xf borderId="32" fillId="0" fontId="2" numFmtId="0" xfId="0" applyBorder="1" applyFont="1"/>
    <xf borderId="0" fillId="17" fontId="2" numFmtId="0" xfId="0" applyAlignment="1" applyFill="1" applyFont="1">
      <alignment readingOrder="0"/>
    </xf>
    <xf borderId="0" fillId="17" fontId="2" numFmtId="0" xfId="0" applyFont="1"/>
    <xf borderId="0" fillId="17" fontId="2" numFmtId="0" xfId="0" applyAlignment="1" applyFont="1">
      <alignment horizontal="center" readingOrder="0"/>
    </xf>
    <xf borderId="1" fillId="8" fontId="3" numFmtId="0" xfId="0" applyAlignment="1" applyBorder="1" applyFont="1">
      <alignment readingOrder="0"/>
    </xf>
    <xf borderId="0" fillId="11" fontId="3" numFmtId="0" xfId="0" applyAlignment="1" applyFont="1">
      <alignment readingOrder="0"/>
    </xf>
    <xf borderId="0" fillId="8" fontId="3" numFmtId="0" xfId="0" applyAlignment="1" applyFont="1">
      <alignment readingOrder="0"/>
    </xf>
    <xf borderId="11" fillId="0" fontId="3" numFmtId="0" xfId="0" applyBorder="1" applyFont="1"/>
    <xf borderId="0" fillId="8" fontId="2" numFmtId="2" xfId="0" applyFont="1" applyNumberFormat="1"/>
    <xf borderId="0" fillId="8" fontId="3" numFmtId="0" xfId="0" applyAlignment="1" applyFont="1">
      <alignment readingOrder="0"/>
    </xf>
    <xf borderId="0" fillId="8" fontId="2" numFmtId="0" xfId="0" applyAlignment="1" applyFont="1">
      <alignment horizontal="center" readingOrder="0"/>
    </xf>
    <xf borderId="0" fillId="8" fontId="2" numFmtId="0" xfId="0" applyAlignment="1" applyFont="1">
      <alignment readingOrder="0"/>
    </xf>
  </cellXfs>
  <cellStyles count="1">
    <cellStyle xfId="0" name="Normal" builtinId="0"/>
  </cellStyles>
  <dxfs count="20">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626E7A"/>
          <bgColor rgb="FF626E7A"/>
        </patternFill>
      </fill>
      <border/>
    </dxf>
    <dxf>
      <font/>
      <fill>
        <patternFill patternType="solid">
          <fgColor rgb="FF787878"/>
          <bgColor rgb="FF787878"/>
        </patternFill>
      </fill>
      <border/>
    </dxf>
    <dxf>
      <font/>
      <fill>
        <patternFill patternType="solid">
          <fgColor rgb="FFB0B0B0"/>
          <bgColor rgb="FFB0B0B0"/>
        </patternFill>
      </fill>
      <border/>
    </dxf>
    <dxf>
      <font>
        <color theme="7"/>
      </font>
      <fill>
        <patternFill patternType="none"/>
      </fill>
      <border/>
    </dxf>
    <dxf>
      <font>
        <color theme="5"/>
      </font>
      <fill>
        <patternFill patternType="none"/>
      </fill>
      <border/>
    </dxf>
    <dxf>
      <font/>
      <fill>
        <patternFill patternType="solid">
          <fgColor rgb="FFBB463C"/>
          <bgColor rgb="FFBB463C"/>
        </patternFill>
      </fill>
      <border/>
    </dxf>
    <dxf>
      <font/>
      <fill>
        <patternFill patternType="solid">
          <fgColor rgb="FF535FC1"/>
          <bgColor rgb="FF535FC1"/>
        </patternFill>
      </fill>
      <border/>
    </dxf>
    <dxf>
      <font/>
      <fill>
        <patternFill patternType="solid">
          <fgColor rgb="FF9B3642"/>
          <bgColor rgb="FF9B3642"/>
        </patternFill>
      </fill>
      <border/>
    </dxf>
    <dxf>
      <font/>
      <fill>
        <patternFill patternType="solid">
          <fgColor rgb="FF5B3F86"/>
          <bgColor rgb="FF5B3F86"/>
        </patternFill>
      </fill>
      <border/>
    </dxf>
    <dxf>
      <font/>
      <fill>
        <patternFill patternType="solid">
          <fgColor rgb="FFEA4335"/>
          <bgColor rgb="FFEA4335"/>
        </patternFill>
      </fill>
      <border/>
    </dxf>
    <dxf>
      <font/>
      <fill>
        <patternFill patternType="solid">
          <fgColor theme="5"/>
          <bgColor theme="5"/>
        </patternFill>
      </fill>
      <border/>
    </dxf>
    <dxf>
      <font/>
      <fill>
        <patternFill patternType="solid">
          <fgColor theme="4"/>
          <bgColor theme="4"/>
        </patternFill>
      </fill>
      <border/>
    </dxf>
    <dxf>
      <font/>
      <fill>
        <patternFill patternType="solid">
          <fgColor theme="6"/>
          <bgColor theme="6"/>
        </patternFill>
      </fill>
      <border/>
    </dxf>
    <dxf>
      <font/>
      <fill>
        <patternFill patternType="solid">
          <fgColor rgb="FFB7E1CD"/>
          <bgColor rgb="FFB7E1CD"/>
        </patternFill>
      </fill>
      <border/>
    </dxf>
    <dxf>
      <font/>
      <fill>
        <patternFill patternType="solid">
          <fgColor rgb="FFF4C7C3"/>
          <bgColor rgb="FFF4C7C3"/>
        </patternFill>
      </fill>
      <border/>
    </dxf>
  </dxfs>
  <tableStyles count="135">
    <tableStyle count="4" pivot="0" name="S3 Regular Season Stats-style">
      <tableStyleElement dxfId="1" type="headerRow"/>
      <tableStyleElement dxfId="2" type="firstRowStripe"/>
      <tableStyleElement dxfId="3" type="secondRowStripe"/>
      <tableStyleElement dxfId="4" size="0" type="wholeTable"/>
    </tableStyle>
    <tableStyle count="4" pivot="0" name="S3 Regular Season Stats-style 2">
      <tableStyleElement dxfId="1" type="headerRow"/>
      <tableStyleElement dxfId="2" type="firstRowStripe"/>
      <tableStyleElement dxfId="3" type="secondRowStripe"/>
      <tableStyleElement dxfId="4" size="0" type="wholeTable"/>
    </tableStyle>
    <tableStyle count="4" pivot="0" name="S3 Regular Season Stats-style 3">
      <tableStyleElement dxfId="5" type="headerRow"/>
      <tableStyleElement dxfId="2" type="firstRowStripe"/>
      <tableStyleElement dxfId="3" type="secondRowStripe"/>
      <tableStyleElement dxfId="4" size="0" type="wholeTable"/>
    </tableStyle>
    <tableStyle count="4" pivot="0" name="S3 Regular Season Stats-style 4">
      <tableStyleElement dxfId="5" type="headerRow"/>
      <tableStyleElement dxfId="2" type="firstRowStripe"/>
      <tableStyleElement dxfId="3" type="secondRowStripe"/>
      <tableStyleElement dxfId="4" size="0" type="wholeTable"/>
    </tableStyle>
    <tableStyle count="4" pivot="0" name="S3 Regular Season Stats-style 5">
      <tableStyleElement dxfId="1" type="headerRow"/>
      <tableStyleElement dxfId="2" type="firstRowStripe"/>
      <tableStyleElement dxfId="3" type="secondRowStripe"/>
      <tableStyleElement dxfId="4" size="0" type="wholeTable"/>
    </tableStyle>
    <tableStyle count="4" pivot="0" name="S3 Regular Season Stats-style 6">
      <tableStyleElement dxfId="5" type="headerRow"/>
      <tableStyleElement dxfId="2" type="firstRowStripe"/>
      <tableStyleElement dxfId="3" type="secondRowStripe"/>
      <tableStyleElement dxfId="4" size="0" type="wholeTable"/>
    </tableStyle>
    <tableStyle count="4" pivot="0" name="S3 Regular Season Stats-style 7">
      <tableStyleElement dxfId="6" type="headerRow"/>
      <tableStyleElement dxfId="2" type="firstRowStripe"/>
      <tableStyleElement dxfId="3" type="secondRowStripe"/>
      <tableStyleElement dxfId="4" size="0" type="wholeTable"/>
    </tableStyle>
    <tableStyle count="4" pivot="0" name="S3 Regular Season Stats-style 8">
      <tableStyleElement dxfId="7" type="headerRow"/>
      <tableStyleElement dxfId="2" type="firstRowStripe"/>
      <tableStyleElement dxfId="3" type="secondRowStripe"/>
      <tableStyleElement dxfId="4" size="0" type="wholeTable"/>
    </tableStyle>
    <tableStyle count="2" pivot="0" name="S3 Regular Season Stats-style 9">
      <tableStyleElement dxfId="2" type="firstRowStripe"/>
      <tableStyleElement dxfId="3" type="secondRowStripe"/>
    </tableStyle>
    <tableStyle count="4" pivot="0" name="S3 Regular Season-style">
      <tableStyleElement dxfId="10" type="headerRow"/>
      <tableStyleElement dxfId="2" type="firstRowStripe"/>
      <tableStyleElement dxfId="3" type="secondRowStripe"/>
      <tableStyleElement dxfId="4" size="0" type="wholeTable"/>
    </tableStyle>
    <tableStyle count="4" pivot="0" name="S3 Regular Season-style 2">
      <tableStyleElement dxfId="11" type="headerRow"/>
      <tableStyleElement dxfId="2" type="firstRowStripe"/>
      <tableStyleElement dxfId="3" type="secondRowStripe"/>
      <tableStyleElement dxfId="4" size="0" type="wholeTable"/>
    </tableStyle>
    <tableStyle count="4" pivot="0" name="S3 Regular Season-style 3">
      <tableStyleElement dxfId="1" type="headerRow"/>
      <tableStyleElement dxfId="2" type="firstRowStripe"/>
      <tableStyleElement dxfId="2" type="secondRowStripe"/>
      <tableStyleElement dxfId="4" size="0" type="wholeTable"/>
    </tableStyle>
    <tableStyle count="2" pivot="0" name="S3 Regular Season-style 4">
      <tableStyleElement dxfId="2" type="firstRowStripe"/>
      <tableStyleElement dxfId="3" type="secondRowStripe"/>
    </tableStyle>
    <tableStyle count="4" pivot="0" name="S3 Regular Season-style 5">
      <tableStyleElement dxfId="12" type="headerRow"/>
      <tableStyleElement dxfId="2" type="firstRowStripe"/>
      <tableStyleElement dxfId="3" type="secondRowStripe"/>
      <tableStyleElement dxfId="4" size="0" type="wholeTable"/>
    </tableStyle>
    <tableStyle count="4" pivot="0" name="S3 Regular Season-style 6">
      <tableStyleElement dxfId="13" type="headerRow"/>
      <tableStyleElement dxfId="2" type="firstRowStripe"/>
      <tableStyleElement dxfId="3" type="secondRowStripe"/>
      <tableStyleElement dxfId="4" size="0" type="wholeTable"/>
    </tableStyle>
    <tableStyle count="4" pivot="0" name="S3 Regular Season-style 7">
      <tableStyleElement dxfId="1" type="headerRow"/>
      <tableStyleElement dxfId="2" type="firstRowStripe"/>
      <tableStyleElement dxfId="2" type="secondRowStripe"/>
      <tableStyleElement dxfId="4" size="0" type="wholeTable"/>
    </tableStyle>
    <tableStyle count="4" pivot="0" name="S3 Regular Season-style 8">
      <tableStyleElement dxfId="12" type="headerRow"/>
      <tableStyleElement dxfId="2" type="firstRowStripe"/>
      <tableStyleElement dxfId="3" type="secondRowStripe"/>
      <tableStyleElement dxfId="4" size="0" type="wholeTable"/>
    </tableStyle>
    <tableStyle count="4" pivot="0" name="S3 Regular Season-style 9">
      <tableStyleElement dxfId="13" type="headerRow"/>
      <tableStyleElement dxfId="2" type="firstRowStripe"/>
      <tableStyleElement dxfId="3" type="secondRowStripe"/>
      <tableStyleElement dxfId="4" size="0" type="wholeTable"/>
    </tableStyle>
    <tableStyle count="4" pivot="0" name="S3 Regular Season-style 10">
      <tableStyleElement dxfId="1" type="headerRow"/>
      <tableStyleElement dxfId="2" type="firstRowStripe"/>
      <tableStyleElement dxfId="2" type="secondRowStripe"/>
      <tableStyleElement dxfId="4" size="0" type="wholeTable"/>
    </tableStyle>
    <tableStyle count="4" pivot="0" name="S3 Regular Season-style 11">
      <tableStyleElement dxfId="10" type="headerRow"/>
      <tableStyleElement dxfId="2" type="firstRowStripe"/>
      <tableStyleElement dxfId="3" type="secondRowStripe"/>
      <tableStyleElement dxfId="4" size="0" type="wholeTable"/>
    </tableStyle>
    <tableStyle count="4" pivot="0" name="S3 Regular Season-style 12">
      <tableStyleElement dxfId="11" type="headerRow"/>
      <tableStyleElement dxfId="2" type="firstRowStripe"/>
      <tableStyleElement dxfId="3" type="secondRowStripe"/>
      <tableStyleElement dxfId="4" size="0" type="wholeTable"/>
    </tableStyle>
    <tableStyle count="4" pivot="0" name="S3 Regular Season-style 13">
      <tableStyleElement dxfId="1" type="headerRow"/>
      <tableStyleElement dxfId="2" type="firstRowStripe"/>
      <tableStyleElement dxfId="2" type="secondRowStripe"/>
      <tableStyleElement dxfId="4" size="0" type="wholeTable"/>
    </tableStyle>
    <tableStyle count="4" pivot="0" name="S3 Regular Season-style 14">
      <tableStyleElement dxfId="12" type="headerRow"/>
      <tableStyleElement dxfId="2" type="firstRowStripe"/>
      <tableStyleElement dxfId="3" type="secondRowStripe"/>
      <tableStyleElement dxfId="4" size="0" type="wholeTable"/>
    </tableStyle>
    <tableStyle count="4" pivot="0" name="S3 Regular Season-style 15">
      <tableStyleElement dxfId="13" type="headerRow"/>
      <tableStyleElement dxfId="2" type="firstRowStripe"/>
      <tableStyleElement dxfId="3" type="secondRowStripe"/>
      <tableStyleElement dxfId="4" size="0" type="wholeTable"/>
    </tableStyle>
    <tableStyle count="4" pivot="0" name="S3 Regular Season-style 16">
      <tableStyleElement dxfId="1" type="headerRow"/>
      <tableStyleElement dxfId="2" type="firstRowStripe"/>
      <tableStyleElement dxfId="2" type="secondRowStripe"/>
      <tableStyleElement dxfId="4" size="0" type="wholeTable"/>
    </tableStyle>
    <tableStyle count="4" pivot="0" name="S3 Regular Season-style 17">
      <tableStyleElement dxfId="12" type="headerRow"/>
      <tableStyleElement dxfId="2" type="firstRowStripe"/>
      <tableStyleElement dxfId="3" type="secondRowStripe"/>
      <tableStyleElement dxfId="4" size="0" type="wholeTable"/>
    </tableStyle>
    <tableStyle count="4" pivot="0" name="S3 Regular Season-style 18">
      <tableStyleElement dxfId="13" type="headerRow"/>
      <tableStyleElement dxfId="2" type="firstRowStripe"/>
      <tableStyleElement dxfId="3" type="secondRowStripe"/>
      <tableStyleElement dxfId="4" size="0" type="wholeTable"/>
    </tableStyle>
    <tableStyle count="4" pivot="0" name="S3 Regular Season-style 19">
      <tableStyleElement dxfId="1" type="headerRow"/>
      <tableStyleElement dxfId="2" type="firstRowStripe"/>
      <tableStyleElement dxfId="2" type="secondRowStripe"/>
      <tableStyleElement dxfId="4" size="0" type="wholeTable"/>
    </tableStyle>
    <tableStyle count="4" pivot="0" name="S3 Regular Season-style 20">
      <tableStyleElement dxfId="10" type="headerRow"/>
      <tableStyleElement dxfId="2" type="firstRowStripe"/>
      <tableStyleElement dxfId="3" type="secondRowStripe"/>
      <tableStyleElement dxfId="4" size="0" type="wholeTable"/>
    </tableStyle>
    <tableStyle count="4" pivot="0" name="S3 Regular Season-style 21">
      <tableStyleElement dxfId="11" type="headerRow"/>
      <tableStyleElement dxfId="2" type="firstRowStripe"/>
      <tableStyleElement dxfId="3" type="secondRowStripe"/>
      <tableStyleElement dxfId="4" size="0" type="wholeTable"/>
    </tableStyle>
    <tableStyle count="4" pivot="0" name="S3 Regular Season-style 22">
      <tableStyleElement dxfId="1" type="headerRow"/>
      <tableStyleElement dxfId="2" type="firstRowStripe"/>
      <tableStyleElement dxfId="2" type="secondRowStripe"/>
      <tableStyleElement dxfId="4" size="0" type="wholeTable"/>
    </tableStyle>
    <tableStyle count="4" pivot="0" name="S3 Regular Season-style 23">
      <tableStyleElement dxfId="12" type="headerRow"/>
      <tableStyleElement dxfId="2" type="firstRowStripe"/>
      <tableStyleElement dxfId="3" type="secondRowStripe"/>
      <tableStyleElement dxfId="4" size="0" type="wholeTable"/>
    </tableStyle>
    <tableStyle count="4" pivot="0" name="S3 Regular Season-style 24">
      <tableStyleElement dxfId="13" type="headerRow"/>
      <tableStyleElement dxfId="2" type="firstRowStripe"/>
      <tableStyleElement dxfId="3" type="secondRowStripe"/>
      <tableStyleElement dxfId="4" size="0" type="wholeTable"/>
    </tableStyle>
    <tableStyle count="4" pivot="0" name="S3 Regular Season-style 25">
      <tableStyleElement dxfId="1" type="headerRow"/>
      <tableStyleElement dxfId="2" type="firstRowStripe"/>
      <tableStyleElement dxfId="2" type="secondRowStripe"/>
      <tableStyleElement dxfId="4" size="0" type="wholeTable"/>
    </tableStyle>
    <tableStyle count="4" pivot="0" name="S3 Regular Season-style 26">
      <tableStyleElement dxfId="12" type="headerRow"/>
      <tableStyleElement dxfId="2" type="firstRowStripe"/>
      <tableStyleElement dxfId="3" type="secondRowStripe"/>
      <tableStyleElement dxfId="4" size="0" type="wholeTable"/>
    </tableStyle>
    <tableStyle count="4" pivot="0" name="S3 Regular Season-style 27">
      <tableStyleElement dxfId="13" type="headerRow"/>
      <tableStyleElement dxfId="2" type="firstRowStripe"/>
      <tableStyleElement dxfId="3" type="secondRowStripe"/>
      <tableStyleElement dxfId="4" size="0" type="wholeTable"/>
    </tableStyle>
    <tableStyle count="4" pivot="0" name="S3 Regular Season-style 28">
      <tableStyleElement dxfId="1" type="headerRow"/>
      <tableStyleElement dxfId="2" type="firstRowStripe"/>
      <tableStyleElement dxfId="2" type="secondRowStripe"/>
      <tableStyleElement dxfId="4" size="0" type="wholeTable"/>
    </tableStyle>
    <tableStyle count="4" pivot="0" name="S3 Regular Season-style 29">
      <tableStyleElement dxfId="10" type="headerRow"/>
      <tableStyleElement dxfId="2" type="firstRowStripe"/>
      <tableStyleElement dxfId="3" type="secondRowStripe"/>
      <tableStyleElement dxfId="4" size="0" type="wholeTable"/>
    </tableStyle>
    <tableStyle count="4" pivot="0" name="S3 Regular Season-style 30">
      <tableStyleElement dxfId="11" type="headerRow"/>
      <tableStyleElement dxfId="2" type="firstRowStripe"/>
      <tableStyleElement dxfId="3" type="secondRowStripe"/>
      <tableStyleElement dxfId="4" size="0" type="wholeTable"/>
    </tableStyle>
    <tableStyle count="4" pivot="0" name="S3 Regular Season-style 31">
      <tableStyleElement dxfId="1" type="headerRow"/>
      <tableStyleElement dxfId="2" type="firstRowStripe"/>
      <tableStyleElement dxfId="2" type="secondRowStripe"/>
      <tableStyleElement dxfId="4" size="0" type="wholeTable"/>
    </tableStyle>
    <tableStyle count="4" pivot="0" name="S3 Regular Season-style 32">
      <tableStyleElement dxfId="12" type="headerRow"/>
      <tableStyleElement dxfId="2" type="firstRowStripe"/>
      <tableStyleElement dxfId="3" type="secondRowStripe"/>
      <tableStyleElement dxfId="4" size="0" type="wholeTable"/>
    </tableStyle>
    <tableStyle count="4" pivot="0" name="S3 Regular Season-style 33">
      <tableStyleElement dxfId="13" type="headerRow"/>
      <tableStyleElement dxfId="2" type="firstRowStripe"/>
      <tableStyleElement dxfId="3" type="secondRowStripe"/>
      <tableStyleElement dxfId="4" size="0" type="wholeTable"/>
    </tableStyle>
    <tableStyle count="4" pivot="0" name="S3 Regular Season-style 34">
      <tableStyleElement dxfId="1" type="headerRow"/>
      <tableStyleElement dxfId="2" type="firstRowStripe"/>
      <tableStyleElement dxfId="2" type="secondRowStripe"/>
      <tableStyleElement dxfId="4" size="0" type="wholeTable"/>
    </tableStyle>
    <tableStyle count="4" pivot="0" name="S3 Regular Season-style 35">
      <tableStyleElement dxfId="12" type="headerRow"/>
      <tableStyleElement dxfId="2" type="firstRowStripe"/>
      <tableStyleElement dxfId="3" type="secondRowStripe"/>
      <tableStyleElement dxfId="4" size="0" type="wholeTable"/>
    </tableStyle>
    <tableStyle count="4" pivot="0" name="S3 Regular Season-style 36">
      <tableStyleElement dxfId="13" type="headerRow"/>
      <tableStyleElement dxfId="2" type="firstRowStripe"/>
      <tableStyleElement dxfId="3" type="secondRowStripe"/>
      <tableStyleElement dxfId="4" size="0" type="wholeTable"/>
    </tableStyle>
    <tableStyle count="4" pivot="0" name="S3 Regular Season-style 37">
      <tableStyleElement dxfId="1" type="headerRow"/>
      <tableStyleElement dxfId="2" type="firstRowStripe"/>
      <tableStyleElement dxfId="2" type="secondRowStripe"/>
      <tableStyleElement dxfId="4" size="0" type="wholeTable"/>
    </tableStyle>
    <tableStyle count="4" pivot="0" name="S3 Regular Season-style 38">
      <tableStyleElement dxfId="10" type="headerRow"/>
      <tableStyleElement dxfId="2" type="firstRowStripe"/>
      <tableStyleElement dxfId="3" type="secondRowStripe"/>
      <tableStyleElement dxfId="4" size="0" type="wholeTable"/>
    </tableStyle>
    <tableStyle count="4" pivot="0" name="S3 Regular Season-style 39">
      <tableStyleElement dxfId="11" type="headerRow"/>
      <tableStyleElement dxfId="2" type="firstRowStripe"/>
      <tableStyleElement dxfId="3" type="secondRowStripe"/>
      <tableStyleElement dxfId="4" size="0" type="wholeTable"/>
    </tableStyle>
    <tableStyle count="4" pivot="0" name="S3 Regular Season-style 40">
      <tableStyleElement dxfId="1" type="headerRow"/>
      <tableStyleElement dxfId="2" type="firstRowStripe"/>
      <tableStyleElement dxfId="2" type="secondRowStripe"/>
      <tableStyleElement dxfId="4" size="0" type="wholeTable"/>
    </tableStyle>
    <tableStyle count="4" pivot="0" name="S3 Regular Season-style 41">
      <tableStyleElement dxfId="12" type="headerRow"/>
      <tableStyleElement dxfId="2" type="firstRowStripe"/>
      <tableStyleElement dxfId="3" type="secondRowStripe"/>
      <tableStyleElement dxfId="4" size="0" type="wholeTable"/>
    </tableStyle>
    <tableStyle count="4" pivot="0" name="S3 Regular Season-style 42">
      <tableStyleElement dxfId="13" type="headerRow"/>
      <tableStyleElement dxfId="2" type="firstRowStripe"/>
      <tableStyleElement dxfId="3" type="secondRowStripe"/>
      <tableStyleElement dxfId="4" size="0" type="wholeTable"/>
    </tableStyle>
    <tableStyle count="4" pivot="0" name="S3 Regular Season-style 43">
      <tableStyleElement dxfId="1" type="headerRow"/>
      <tableStyleElement dxfId="2" type="firstRowStripe"/>
      <tableStyleElement dxfId="2" type="secondRowStripe"/>
      <tableStyleElement dxfId="4" size="0" type="wholeTable"/>
    </tableStyle>
    <tableStyle count="4" pivot="0" name="S3 Regular Season-style 44">
      <tableStyleElement dxfId="12" type="headerRow"/>
      <tableStyleElement dxfId="2" type="firstRowStripe"/>
      <tableStyleElement dxfId="3" type="secondRowStripe"/>
      <tableStyleElement dxfId="4" size="0" type="wholeTable"/>
    </tableStyle>
    <tableStyle count="4" pivot="0" name="S3 Regular Season-style 45">
      <tableStyleElement dxfId="13" type="headerRow"/>
      <tableStyleElement dxfId="2" type="firstRowStripe"/>
      <tableStyleElement dxfId="3" type="secondRowStripe"/>
      <tableStyleElement dxfId="4" size="0" type="wholeTable"/>
    </tableStyle>
    <tableStyle count="4" pivot="0" name="S3 Regular Season-style 46">
      <tableStyleElement dxfId="1" type="headerRow"/>
      <tableStyleElement dxfId="2" type="firstRowStripe"/>
      <tableStyleElement dxfId="2" type="secondRowStripe"/>
      <tableStyleElement dxfId="4" size="0" type="wholeTable"/>
    </tableStyle>
    <tableStyle count="2" pivot="0" name="S3 Regular Season-style 47">
      <tableStyleElement dxfId="3" type="firstRowStripe"/>
      <tableStyleElement dxfId="2" type="secondRowStripe"/>
    </tableStyle>
    <tableStyle count="4" pivot="0" name="S3 Regular Season-style 48">
      <tableStyleElement dxfId="10" type="headerRow"/>
      <tableStyleElement dxfId="2" type="firstRowStripe"/>
      <tableStyleElement dxfId="3" type="secondRowStripe"/>
      <tableStyleElement dxfId="4" size="0" type="wholeTable"/>
    </tableStyle>
    <tableStyle count="4" pivot="0" name="S3 Regular Season-style 49">
      <tableStyleElement dxfId="11" type="headerRow"/>
      <tableStyleElement dxfId="2" type="firstRowStripe"/>
      <tableStyleElement dxfId="3" type="secondRowStripe"/>
      <tableStyleElement dxfId="4" size="0" type="wholeTable"/>
    </tableStyle>
    <tableStyle count="4" pivot="0" name="S3 Regular Season-style 50">
      <tableStyleElement dxfId="1" type="headerRow"/>
      <tableStyleElement dxfId="2" type="firstRowStripe"/>
      <tableStyleElement dxfId="2" type="secondRowStripe"/>
      <tableStyleElement dxfId="4" size="0" type="wholeTable"/>
    </tableStyle>
    <tableStyle count="4" pivot="0" name="S3 Regular Season-style 51">
      <tableStyleElement dxfId="12" type="headerRow"/>
      <tableStyleElement dxfId="2" type="firstRowStripe"/>
      <tableStyleElement dxfId="3" type="secondRowStripe"/>
      <tableStyleElement dxfId="4" size="0" type="wholeTable"/>
    </tableStyle>
    <tableStyle count="4" pivot="0" name="S3 Regular Season-style 52">
      <tableStyleElement dxfId="13" type="headerRow"/>
      <tableStyleElement dxfId="2" type="firstRowStripe"/>
      <tableStyleElement dxfId="3" type="secondRowStripe"/>
      <tableStyleElement dxfId="4" size="0" type="wholeTable"/>
    </tableStyle>
    <tableStyle count="4" pivot="0" name="S3 Regular Season-style 53">
      <tableStyleElement dxfId="1" type="headerRow"/>
      <tableStyleElement dxfId="2" type="firstRowStripe"/>
      <tableStyleElement dxfId="2" type="secondRowStripe"/>
      <tableStyleElement dxfId="4" size="0" type="wholeTable"/>
    </tableStyle>
    <tableStyle count="4" pivot="0" name="S3 Regular Season-style 54">
      <tableStyleElement dxfId="12" type="headerRow"/>
      <tableStyleElement dxfId="2" type="firstRowStripe"/>
      <tableStyleElement dxfId="3" type="secondRowStripe"/>
      <tableStyleElement dxfId="4" size="0" type="wholeTable"/>
    </tableStyle>
    <tableStyle count="4" pivot="0" name="S3 Regular Season-style 55">
      <tableStyleElement dxfId="13" type="headerRow"/>
      <tableStyleElement dxfId="2" type="firstRowStripe"/>
      <tableStyleElement dxfId="3" type="secondRowStripe"/>
      <tableStyleElement dxfId="4" size="0" type="wholeTable"/>
    </tableStyle>
    <tableStyle count="4" pivot="0" name="S3 Regular Season-style 56">
      <tableStyleElement dxfId="1" type="headerRow"/>
      <tableStyleElement dxfId="2" type="firstRowStripe"/>
      <tableStyleElement dxfId="2" type="secondRowStripe"/>
      <tableStyleElement dxfId="4" size="0" type="wholeTable"/>
    </tableStyle>
    <tableStyle count="4" pivot="0" name="S3 Regular Season-style 57">
      <tableStyleElement dxfId="10" type="headerRow"/>
      <tableStyleElement dxfId="2" type="firstRowStripe"/>
      <tableStyleElement dxfId="3" type="secondRowStripe"/>
      <tableStyleElement dxfId="4" size="0" type="wholeTable"/>
    </tableStyle>
    <tableStyle count="4" pivot="0" name="S3 Regular Season-style 58">
      <tableStyleElement dxfId="11" type="headerRow"/>
      <tableStyleElement dxfId="2" type="firstRowStripe"/>
      <tableStyleElement dxfId="3" type="secondRowStripe"/>
      <tableStyleElement dxfId="4" size="0" type="wholeTable"/>
    </tableStyle>
    <tableStyle count="4" pivot="0" name="S3 Regular Season-style 59">
      <tableStyleElement dxfId="1" type="headerRow"/>
      <tableStyleElement dxfId="2" type="firstRowStripe"/>
      <tableStyleElement dxfId="2" type="secondRowStripe"/>
      <tableStyleElement dxfId="4" size="0" type="wholeTable"/>
    </tableStyle>
    <tableStyle count="4" pivot="0" name="S3 Regular Season-style 60">
      <tableStyleElement dxfId="12" type="headerRow"/>
      <tableStyleElement dxfId="2" type="firstRowStripe"/>
      <tableStyleElement dxfId="3" type="secondRowStripe"/>
      <tableStyleElement dxfId="4" size="0" type="wholeTable"/>
    </tableStyle>
    <tableStyle count="4" pivot="0" name="S3 Regular Season-style 61">
      <tableStyleElement dxfId="13" type="headerRow"/>
      <tableStyleElement dxfId="2" type="firstRowStripe"/>
      <tableStyleElement dxfId="3" type="secondRowStripe"/>
      <tableStyleElement dxfId="4" size="0" type="wholeTable"/>
    </tableStyle>
    <tableStyle count="4" pivot="0" name="S3 Regular Season-style 62">
      <tableStyleElement dxfId="1" type="headerRow"/>
      <tableStyleElement dxfId="2" type="firstRowStripe"/>
      <tableStyleElement dxfId="2" type="secondRowStripe"/>
      <tableStyleElement dxfId="4" size="0" type="wholeTable"/>
    </tableStyle>
    <tableStyle count="4" pivot="0" name="S3 Regular Season-style 63">
      <tableStyleElement dxfId="12" type="headerRow"/>
      <tableStyleElement dxfId="2" type="firstRowStripe"/>
      <tableStyleElement dxfId="3" type="secondRowStripe"/>
      <tableStyleElement dxfId="4" size="0" type="wholeTable"/>
    </tableStyle>
    <tableStyle count="4" pivot="0" name="S3 Regular Season-style 64">
      <tableStyleElement dxfId="13" type="headerRow"/>
      <tableStyleElement dxfId="2" type="firstRowStripe"/>
      <tableStyleElement dxfId="3" type="secondRowStripe"/>
      <tableStyleElement dxfId="4" size="0" type="wholeTable"/>
    </tableStyle>
    <tableStyle count="4" pivot="0" name="S3 Regular Season-style 65">
      <tableStyleElement dxfId="1" type="headerRow"/>
      <tableStyleElement dxfId="2" type="firstRowStripe"/>
      <tableStyleElement dxfId="2" type="secondRowStripe"/>
      <tableStyleElement dxfId="4" size="0" type="wholeTable"/>
    </tableStyle>
    <tableStyle count="4" pivot="0" name="S3 Regular Season-style 66">
      <tableStyleElement dxfId="10" type="headerRow"/>
      <tableStyleElement dxfId="2" type="firstRowStripe"/>
      <tableStyleElement dxfId="3" type="secondRowStripe"/>
      <tableStyleElement dxfId="4" size="0" type="wholeTable"/>
    </tableStyle>
    <tableStyle count="4" pivot="0" name="S3 Regular Season-style 67">
      <tableStyleElement dxfId="11" type="headerRow"/>
      <tableStyleElement dxfId="2" type="firstRowStripe"/>
      <tableStyleElement dxfId="3" type="secondRowStripe"/>
      <tableStyleElement dxfId="4" size="0" type="wholeTable"/>
    </tableStyle>
    <tableStyle count="4" pivot="0" name="S3 Regular Season-style 68">
      <tableStyleElement dxfId="1" type="headerRow"/>
      <tableStyleElement dxfId="2" type="firstRowStripe"/>
      <tableStyleElement dxfId="2" type="secondRowStripe"/>
      <tableStyleElement dxfId="4" size="0" type="wholeTable"/>
    </tableStyle>
    <tableStyle count="4" pivot="0" name="S3 Regular Season-style 69">
      <tableStyleElement dxfId="12" type="headerRow"/>
      <tableStyleElement dxfId="2" type="firstRowStripe"/>
      <tableStyleElement dxfId="3" type="secondRowStripe"/>
      <tableStyleElement dxfId="4" size="0" type="wholeTable"/>
    </tableStyle>
    <tableStyle count="4" pivot="0" name="S3 Regular Season-style 70">
      <tableStyleElement dxfId="13" type="headerRow"/>
      <tableStyleElement dxfId="2" type="firstRowStripe"/>
      <tableStyleElement dxfId="3" type="secondRowStripe"/>
      <tableStyleElement dxfId="4" size="0" type="wholeTable"/>
    </tableStyle>
    <tableStyle count="4" pivot="0" name="S3 Regular Season-style 71">
      <tableStyleElement dxfId="1" type="headerRow"/>
      <tableStyleElement dxfId="2" type="firstRowStripe"/>
      <tableStyleElement dxfId="2" type="secondRowStripe"/>
      <tableStyleElement dxfId="4" size="0" type="wholeTable"/>
    </tableStyle>
    <tableStyle count="4" pivot="0" name="S3 Regular Season-style 72">
      <tableStyleElement dxfId="12" type="headerRow"/>
      <tableStyleElement dxfId="2" type="firstRowStripe"/>
      <tableStyleElement dxfId="3" type="secondRowStripe"/>
      <tableStyleElement dxfId="4" size="0" type="wholeTable"/>
    </tableStyle>
    <tableStyle count="4" pivot="0" name="S3 Regular Season-style 73">
      <tableStyleElement dxfId="13" type="headerRow"/>
      <tableStyleElement dxfId="2" type="firstRowStripe"/>
      <tableStyleElement dxfId="3" type="secondRowStripe"/>
      <tableStyleElement dxfId="4" size="0" type="wholeTable"/>
    </tableStyle>
    <tableStyle count="4" pivot="0" name="S3 Regular Season-style 74">
      <tableStyleElement dxfId="1" type="headerRow"/>
      <tableStyleElement dxfId="2" type="firstRowStripe"/>
      <tableStyleElement dxfId="2" type="secondRowStripe"/>
      <tableStyleElement dxfId="4" size="0" type="wholeTable"/>
    </tableStyle>
    <tableStyle count="4" pivot="0" name="S3 Regular Season-style 75">
      <tableStyleElement dxfId="10" type="headerRow"/>
      <tableStyleElement dxfId="2" type="firstRowStripe"/>
      <tableStyleElement dxfId="3" type="secondRowStripe"/>
      <tableStyleElement dxfId="4" size="0" type="wholeTable"/>
    </tableStyle>
    <tableStyle count="4" pivot="0" name="S3 Regular Season-style 76">
      <tableStyleElement dxfId="11" type="headerRow"/>
      <tableStyleElement dxfId="2" type="firstRowStripe"/>
      <tableStyleElement dxfId="3" type="secondRowStripe"/>
      <tableStyleElement dxfId="4" size="0" type="wholeTable"/>
    </tableStyle>
    <tableStyle count="4" pivot="0" name="S3 Regular Season-style 77">
      <tableStyleElement dxfId="1" type="headerRow"/>
      <tableStyleElement dxfId="2" type="firstRowStripe"/>
      <tableStyleElement dxfId="2" type="secondRowStripe"/>
      <tableStyleElement dxfId="4" size="0" type="wholeTable"/>
    </tableStyle>
    <tableStyle count="4" pivot="0" name="S3 Regular Season-style 78">
      <tableStyleElement dxfId="12" type="headerRow"/>
      <tableStyleElement dxfId="2" type="firstRowStripe"/>
      <tableStyleElement dxfId="3" type="secondRowStripe"/>
      <tableStyleElement dxfId="4" size="0" type="wholeTable"/>
    </tableStyle>
    <tableStyle count="4" pivot="0" name="S3 Regular Season-style 79">
      <tableStyleElement dxfId="13" type="headerRow"/>
      <tableStyleElement dxfId="2" type="firstRowStripe"/>
      <tableStyleElement dxfId="3" type="secondRowStripe"/>
      <tableStyleElement dxfId="4" size="0" type="wholeTable"/>
    </tableStyle>
    <tableStyle count="4" pivot="0" name="S3 Regular Season-style 80">
      <tableStyleElement dxfId="1" type="headerRow"/>
      <tableStyleElement dxfId="2" type="firstRowStripe"/>
      <tableStyleElement dxfId="2" type="secondRowStripe"/>
      <tableStyleElement dxfId="4" size="0" type="wholeTable"/>
    </tableStyle>
    <tableStyle count="4" pivot="0" name="S3 Regular Season-style 81">
      <tableStyleElement dxfId="12" type="headerRow"/>
      <tableStyleElement dxfId="2" type="firstRowStripe"/>
      <tableStyleElement dxfId="3" type="secondRowStripe"/>
      <tableStyleElement dxfId="4" size="0" type="wholeTable"/>
    </tableStyle>
    <tableStyle count="4" pivot="0" name="S3 Regular Season-style 82">
      <tableStyleElement dxfId="13" type="headerRow"/>
      <tableStyleElement dxfId="2" type="firstRowStripe"/>
      <tableStyleElement dxfId="3" type="secondRowStripe"/>
      <tableStyleElement dxfId="4" size="0" type="wholeTable"/>
    </tableStyle>
    <tableStyle count="4" pivot="0" name="S3 Regular Season-style 83">
      <tableStyleElement dxfId="1" type="headerRow"/>
      <tableStyleElement dxfId="2" type="firstRowStripe"/>
      <tableStyleElement dxfId="2" type="secondRowStripe"/>
      <tableStyleElement dxfId="4" size="0" type="wholeTable"/>
    </tableStyle>
    <tableStyle count="4" pivot="0" name="S3 Regular Season-style 84">
      <tableStyleElement dxfId="10" type="headerRow"/>
      <tableStyleElement dxfId="2" type="firstRowStripe"/>
      <tableStyleElement dxfId="3" type="secondRowStripe"/>
      <tableStyleElement dxfId="4" size="0" type="wholeTable"/>
    </tableStyle>
    <tableStyle count="4" pivot="0" name="S3 Regular Season-style 85">
      <tableStyleElement dxfId="11" type="headerRow"/>
      <tableStyleElement dxfId="2" type="firstRowStripe"/>
      <tableStyleElement dxfId="3" type="secondRowStripe"/>
      <tableStyleElement dxfId="4" size="0" type="wholeTable"/>
    </tableStyle>
    <tableStyle count="4" pivot="0" name="S3 Regular Season-style 86">
      <tableStyleElement dxfId="1" type="headerRow"/>
      <tableStyleElement dxfId="2" type="firstRowStripe"/>
      <tableStyleElement dxfId="2" type="secondRowStripe"/>
      <tableStyleElement dxfId="4" size="0" type="wholeTable"/>
    </tableStyle>
    <tableStyle count="4" pivot="0" name="S3 Regular Season-style 87">
      <tableStyleElement dxfId="12" type="headerRow"/>
      <tableStyleElement dxfId="2" type="firstRowStripe"/>
      <tableStyleElement dxfId="3" type="secondRowStripe"/>
      <tableStyleElement dxfId="4" size="0" type="wholeTable"/>
    </tableStyle>
    <tableStyle count="4" pivot="0" name="S3 Regular Season-style 88">
      <tableStyleElement dxfId="13" type="headerRow"/>
      <tableStyleElement dxfId="2" type="firstRowStripe"/>
      <tableStyleElement dxfId="3" type="secondRowStripe"/>
      <tableStyleElement dxfId="4" size="0" type="wholeTable"/>
    </tableStyle>
    <tableStyle count="4" pivot="0" name="S3 Regular Season-style 89">
      <tableStyleElement dxfId="1" type="headerRow"/>
      <tableStyleElement dxfId="2" type="firstRowStripe"/>
      <tableStyleElement dxfId="2" type="secondRowStripe"/>
      <tableStyleElement dxfId="4" size="0" type="wholeTable"/>
    </tableStyle>
    <tableStyle count="4" pivot="0" name="S3 Regular Season-style 90">
      <tableStyleElement dxfId="12" type="headerRow"/>
      <tableStyleElement dxfId="2" type="firstRowStripe"/>
      <tableStyleElement dxfId="3" type="secondRowStripe"/>
      <tableStyleElement dxfId="4" size="0" type="wholeTable"/>
    </tableStyle>
    <tableStyle count="4" pivot="0" name="S3 Regular Season-style 91">
      <tableStyleElement dxfId="13" type="headerRow"/>
      <tableStyleElement dxfId="2" type="firstRowStripe"/>
      <tableStyleElement dxfId="3" type="secondRowStripe"/>
      <tableStyleElement dxfId="4" size="0" type="wholeTable"/>
    </tableStyle>
    <tableStyle count="4" pivot="0" name="S3 Regular Season-style 92">
      <tableStyleElement dxfId="1" type="headerRow"/>
      <tableStyleElement dxfId="2" type="firstRowStripe"/>
      <tableStyleElement dxfId="2" type="secondRowStripe"/>
      <tableStyleElement dxfId="4" size="0" type="wholeTable"/>
    </tableStyle>
    <tableStyle count="4" pivot="0" name="S3 Regular Season-style 93">
      <tableStyleElement dxfId="10" type="headerRow"/>
      <tableStyleElement dxfId="2" type="firstRowStripe"/>
      <tableStyleElement dxfId="3" type="secondRowStripe"/>
      <tableStyleElement dxfId="4" size="0" type="wholeTable"/>
    </tableStyle>
    <tableStyle count="4" pivot="0" name="S3 Regular Season-style 94">
      <tableStyleElement dxfId="11" type="headerRow"/>
      <tableStyleElement dxfId="2" type="firstRowStripe"/>
      <tableStyleElement dxfId="3" type="secondRowStripe"/>
      <tableStyleElement dxfId="4" size="0" type="wholeTable"/>
    </tableStyle>
    <tableStyle count="4" pivot="0" name="S3 Regular Season-style 95">
      <tableStyleElement dxfId="1" type="headerRow"/>
      <tableStyleElement dxfId="2" type="firstRowStripe"/>
      <tableStyleElement dxfId="2" type="secondRowStripe"/>
      <tableStyleElement dxfId="4" size="0" type="wholeTable"/>
    </tableStyle>
    <tableStyle count="4" pivot="0" name="S3 Regular Season-style 96">
      <tableStyleElement dxfId="12" type="headerRow"/>
      <tableStyleElement dxfId="2" type="firstRowStripe"/>
      <tableStyleElement dxfId="3" type="secondRowStripe"/>
      <tableStyleElement dxfId="4" size="0" type="wholeTable"/>
    </tableStyle>
    <tableStyle count="4" pivot="0" name="S3 Regular Season-style 97">
      <tableStyleElement dxfId="13" type="headerRow"/>
      <tableStyleElement dxfId="2" type="firstRowStripe"/>
      <tableStyleElement dxfId="3" type="secondRowStripe"/>
      <tableStyleElement dxfId="4" size="0" type="wholeTable"/>
    </tableStyle>
    <tableStyle count="4" pivot="0" name="S3 Regular Season-style 98">
      <tableStyleElement dxfId="1" type="headerRow"/>
      <tableStyleElement dxfId="2" type="firstRowStripe"/>
      <tableStyleElement dxfId="2" type="secondRowStripe"/>
      <tableStyleElement dxfId="4" size="0" type="wholeTable"/>
    </tableStyle>
    <tableStyle count="4" pivot="0" name="S3 Regular Season-style 99">
      <tableStyleElement dxfId="12" type="headerRow"/>
      <tableStyleElement dxfId="2" type="firstRowStripe"/>
      <tableStyleElement dxfId="3" type="secondRowStripe"/>
      <tableStyleElement dxfId="4" size="0" type="wholeTable"/>
    </tableStyle>
    <tableStyle count="4" pivot="0" name="S3 Regular Season-style 100">
      <tableStyleElement dxfId="13" type="headerRow"/>
      <tableStyleElement dxfId="2" type="firstRowStripe"/>
      <tableStyleElement dxfId="3" type="secondRowStripe"/>
      <tableStyleElement dxfId="4" size="0" type="wholeTable"/>
    </tableStyle>
    <tableStyle count="4" pivot="0" name="S3 Regular Season-style 101">
      <tableStyleElement dxfId="1" type="headerRow"/>
      <tableStyleElement dxfId="2" type="firstRowStripe"/>
      <tableStyleElement dxfId="2" type="secondRowStripe"/>
      <tableStyleElement dxfId="4" size="0" type="wholeTable"/>
    </tableStyle>
    <tableStyle count="4" pivot="0" name="S3 Regular Season-style 102">
      <tableStyleElement dxfId="10" type="headerRow"/>
      <tableStyleElement dxfId="2" type="firstRowStripe"/>
      <tableStyleElement dxfId="3" type="secondRowStripe"/>
      <tableStyleElement dxfId="4" size="0" type="wholeTable"/>
    </tableStyle>
    <tableStyle count="4" pivot="0" name="S3 Regular Season-style 103">
      <tableStyleElement dxfId="11" type="headerRow"/>
      <tableStyleElement dxfId="2" type="firstRowStripe"/>
      <tableStyleElement dxfId="3" type="secondRowStripe"/>
      <tableStyleElement dxfId="4" size="0" type="wholeTable"/>
    </tableStyle>
    <tableStyle count="4" pivot="0" name="S3 Regular Season-style 104">
      <tableStyleElement dxfId="1" type="headerRow"/>
      <tableStyleElement dxfId="2" type="firstRowStripe"/>
      <tableStyleElement dxfId="2" type="secondRowStripe"/>
      <tableStyleElement dxfId="4" size="0" type="wholeTable"/>
    </tableStyle>
    <tableStyle count="4" pivot="0" name="S3 Regular Season-style 105">
      <tableStyleElement dxfId="12" type="headerRow"/>
      <tableStyleElement dxfId="2" type="firstRowStripe"/>
      <tableStyleElement dxfId="3" type="secondRowStripe"/>
      <tableStyleElement dxfId="4" size="0" type="wholeTable"/>
    </tableStyle>
    <tableStyle count="4" pivot="0" name="S3 Regular Season-style 106">
      <tableStyleElement dxfId="13" type="headerRow"/>
      <tableStyleElement dxfId="2" type="firstRowStripe"/>
      <tableStyleElement dxfId="3" type="secondRowStripe"/>
      <tableStyleElement dxfId="4" size="0" type="wholeTable"/>
    </tableStyle>
    <tableStyle count="4" pivot="0" name="S3 Regular Season-style 107">
      <tableStyleElement dxfId="1" type="headerRow"/>
      <tableStyleElement dxfId="2" type="firstRowStripe"/>
      <tableStyleElement dxfId="2" type="secondRowStripe"/>
      <tableStyleElement dxfId="4" size="0" type="wholeTable"/>
    </tableStyle>
    <tableStyle count="4" pivot="0" name="S3 Regular Season-style 108">
      <tableStyleElement dxfId="12" type="headerRow"/>
      <tableStyleElement dxfId="2" type="firstRowStripe"/>
      <tableStyleElement dxfId="3" type="secondRowStripe"/>
      <tableStyleElement dxfId="4" size="0" type="wholeTable"/>
    </tableStyle>
    <tableStyle count="4" pivot="0" name="S3 Regular Season-style 109">
      <tableStyleElement dxfId="13" type="headerRow"/>
      <tableStyleElement dxfId="2" type="firstRowStripe"/>
      <tableStyleElement dxfId="3" type="secondRowStripe"/>
      <tableStyleElement dxfId="4" size="0" type="wholeTable"/>
    </tableStyle>
    <tableStyle count="4" pivot="0" name="S3 Regular Season-style 110">
      <tableStyleElement dxfId="1" type="headerRow"/>
      <tableStyleElement dxfId="2" type="firstRowStripe"/>
      <tableStyleElement dxfId="2" type="secondRowStripe"/>
      <tableStyleElement dxfId="4" size="0" type="wholeTable"/>
    </tableStyle>
    <tableStyle count="4" pivot="0" name="S3 Regular Season-style 111">
      <tableStyleElement dxfId="10" type="headerRow"/>
      <tableStyleElement dxfId="2" type="firstRowStripe"/>
      <tableStyleElement dxfId="3" type="secondRowStripe"/>
      <tableStyleElement dxfId="4" size="0" type="wholeTable"/>
    </tableStyle>
    <tableStyle count="4" pivot="0" name="S3 Regular Season-style 112">
      <tableStyleElement dxfId="11" type="headerRow"/>
      <tableStyleElement dxfId="2" type="firstRowStripe"/>
      <tableStyleElement dxfId="3" type="secondRowStripe"/>
      <tableStyleElement dxfId="4" size="0" type="wholeTable"/>
    </tableStyle>
    <tableStyle count="4" pivot="0" name="S3 Regular Season-style 113">
      <tableStyleElement dxfId="1" type="headerRow"/>
      <tableStyleElement dxfId="2" type="firstRowStripe"/>
      <tableStyleElement dxfId="2" type="secondRowStripe"/>
      <tableStyleElement dxfId="4" size="0" type="wholeTable"/>
    </tableStyle>
    <tableStyle count="4" pivot="0" name="S3 Regular Season-style 114">
      <tableStyleElement dxfId="12" type="headerRow"/>
      <tableStyleElement dxfId="2" type="firstRowStripe"/>
      <tableStyleElement dxfId="3" type="secondRowStripe"/>
      <tableStyleElement dxfId="4" size="0" type="wholeTable"/>
    </tableStyle>
    <tableStyle count="4" pivot="0" name="S3 Regular Season-style 115">
      <tableStyleElement dxfId="13" type="headerRow"/>
      <tableStyleElement dxfId="2" type="firstRowStripe"/>
      <tableStyleElement dxfId="3" type="secondRowStripe"/>
      <tableStyleElement dxfId="4" size="0" type="wholeTable"/>
    </tableStyle>
    <tableStyle count="4" pivot="0" name="S3 Regular Season-style 116">
      <tableStyleElement dxfId="1" type="headerRow"/>
      <tableStyleElement dxfId="2" type="firstRowStripe"/>
      <tableStyleElement dxfId="2" type="secondRowStripe"/>
      <tableStyleElement dxfId="4" size="0" type="wholeTable"/>
    </tableStyle>
    <tableStyle count="4" pivot="0" name="S3 Regular Season-style 117">
      <tableStyleElement dxfId="12" type="headerRow"/>
      <tableStyleElement dxfId="2" type="firstRowStripe"/>
      <tableStyleElement dxfId="3" type="secondRowStripe"/>
      <tableStyleElement dxfId="4" size="0" type="wholeTable"/>
    </tableStyle>
    <tableStyle count="4" pivot="0" name="S3 Regular Season-style 118">
      <tableStyleElement dxfId="13" type="headerRow"/>
      <tableStyleElement dxfId="2" type="firstRowStripe"/>
      <tableStyleElement dxfId="3" type="secondRowStripe"/>
      <tableStyleElement dxfId="4" size="0" type="wholeTable"/>
    </tableStyle>
    <tableStyle count="4" pivot="0" name="S3 Regular Season-style 119">
      <tableStyleElement dxfId="1" type="headerRow"/>
      <tableStyleElement dxfId="2" type="firstRowStripe"/>
      <tableStyleElement dxfId="2" type="secondRowStripe"/>
      <tableStyleElement dxfId="4" size="0" type="wholeTable"/>
    </tableStyle>
    <tableStyle count="2" pivot="0" name="Matchup Metrics - Reg Season Cr-style">
      <tableStyleElement dxfId="2" type="firstRowStripe"/>
      <tableStyleElement dxfId="3" type="secondRowStripe"/>
    </tableStyle>
    <tableStyle count="2" pivot="0" name="Matchup Metrics - Reg Season Cr-style 2">
      <tableStyleElement dxfId="2" type="firstRowStripe"/>
      <tableStyleElement dxfId="3" type="secondRowStripe"/>
    </tableStyle>
    <tableStyle count="2" pivot="0" name="Matchup Metrics - Reg Season Cr-style 3">
      <tableStyleElement dxfId="2" type="firstRowStripe"/>
      <tableStyleElement dxfId="3" type="secondRowStripe"/>
    </tableStyle>
    <tableStyle count="2" pivot="0" name="Matchup Metrics - Reg Season Cr-style 4">
      <tableStyleElement dxfId="3" type="firstRowStripe"/>
      <tableStyleElement dxfId="2" type="secondRowStripe"/>
    </tableStyle>
    <tableStyle count="2" pivot="0" name="12 person of Reg Season Creatio-style">
      <tableStyleElement dxfId="2" type="firstRowStripe"/>
      <tableStyleElement dxfId="3" type="secondRowStripe"/>
    </tableStyle>
    <tableStyle count="2" pivot="0" name="12 person of Reg Season Creatio-style 2">
      <tableStyleElement dxfId="2" type="firstRowStripe"/>
      <tableStyleElement dxfId="3" type="secondRowStripe"/>
    </tableStyle>
    <tableStyle count="2" pivot="0" name="12 person of Reg Season Creatio-style 3">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4" displayName="S3_Stats" name="S3_Stats" id="1">
  <tableColumns count="7">
    <tableColumn name="4" id="1"/>
    <tableColumn name="Kills" id="2"/>
    <tableColumn name="Assists" id="3"/>
    <tableColumn name="Deaths" id="4"/>
    <tableColumn name="Total Damage" id="5"/>
    <tableColumn name="ADR" id="6"/>
    <tableColumn name="Kill Diff." id="7"/>
  </tableColumns>
  <tableStyleInfo name="S3 Regular Season Stats-style" showColumnStripes="0" showFirstColumn="1" showLastColumn="1" showRowStripes="1"/>
</table>
</file>

<file path=xl/tables/table2.xml><?xml version="1.0" encoding="utf-8"?>
<table xmlns="http://schemas.openxmlformats.org/spreadsheetml/2006/main" ref="M1:O12" displayName="S3_Leaderboard" name="S3_Leaderboard" id="2">
  <tableColumns count="3">
    <tableColumn name="Category" id="1"/>
    <tableColumn name="Leader" id="2"/>
    <tableColumn name="Value" id="3"/>
  </tableColumns>
  <tableStyleInfo name="S3 Regular Season Stats-style 2" showColumnStripes="0" showFirstColumn="1" showLastColumn="1" showRowStripes="1"/>
</table>
</file>

<file path=xl/tables/table3.xml><?xml version="1.0" encoding="utf-8"?>
<table xmlns="http://schemas.openxmlformats.org/spreadsheetml/2006/main" ref="A17:J30" displayName="S3_Kill_Stats" name="S3_Kill_Stats" id="3">
  <tableColumns count="10">
    <tableColumn name="Name" id="1"/>
    <tableColumn name="K/D" id="2"/>
    <tableColumn name="Dmg/Kill" id="3"/>
    <tableColumn name="Kills/Round" id="4"/>
    <tableColumn name="Assists/Round" id="5"/>
    <tableColumn name="Deaths/Round" id="6"/>
    <tableColumn name="Kills/Win" id="7"/>
    <tableColumn name="Deaths/Win" id="8"/>
    <tableColumn name="Kills/Loss" id="9"/>
    <tableColumn name="Deaths/Loss" id="10"/>
  </tableColumns>
  <tableStyleInfo name="S3 Regular Season Stats-style 3" showColumnStripes="0" showFirstColumn="1" showLastColumn="1" showRowStripes="1"/>
</table>
</file>

<file path=xl/tables/table4.xml><?xml version="1.0" encoding="utf-8"?>
<table xmlns="http://schemas.openxmlformats.org/spreadsheetml/2006/main" ref="A33:I46" displayName="S3_Game_Stats" name="S3_Game_Stats" id="4">
  <autoFilter ref="$A$33:$I$46"/>
  <tableColumns count="9">
    <tableColumn name="Name" id="1"/>
    <tableColumn name="Games" id="2"/>
    <tableColumn name="Wins" id="3"/>
    <tableColumn name="Losses" id="4"/>
    <tableColumn name="WR %" id="5"/>
    <tableColumn name="Round WR %" id="6"/>
    <tableColumn name="Rounds Won" id="7"/>
    <tableColumn name="Rounds Lost" id="8"/>
    <tableColumn name="Rounds Played" id="9"/>
  </tableColumns>
  <tableStyleInfo name="S3 Regular Season Stats-style 4" showColumnStripes="0" showFirstColumn="1" showLastColumn="1" showRowStripes="1"/>
</table>
</file>

<file path=xl/tables/table5.xml><?xml version="1.0" encoding="utf-8"?>
<table xmlns="http://schemas.openxmlformats.org/spreadsheetml/2006/main" ref="L33:O46" displayName="Final_Standings" name="Final_Standings" id="5">
  <tableColumns count="4">
    <tableColumn name="Place" id="1"/>
    <tableColumn name="Player" id="2"/>
    <tableColumn name="WR" id="3"/>
    <tableColumn name="Round WR" id="4"/>
  </tableColumns>
  <tableStyleInfo name="S3 Regular Season Stats-style 5" showColumnStripes="0" showFirstColumn="1" showLastColumn="1" showRowStripes="1"/>
</table>
</file>

<file path=xl/tables/table6.xml><?xml version="1.0" encoding="utf-8"?>
<table xmlns="http://schemas.openxmlformats.org/spreadsheetml/2006/main" ref="A50:J63" displayName="S3_Avg_Game_Stats" name="S3_Avg_Game_Stats" id="6">
  <tableColumns count="10">
    <tableColumn name="Name" id="1"/>
    <tableColumn name="Kill Diff/Game" id="2"/>
    <tableColumn name="Dmg/Game" id="3"/>
    <tableColumn name="Round Diff/Game" id="4"/>
    <tableColumn name="Rounds/Game" id="5"/>
    <tableColumn name="Rounds Won/Game" id="6"/>
    <tableColumn name="Rounds Lost/Game" id="7"/>
    <tableColumn name="Kills/Game" id="8"/>
    <tableColumn name="Assists/Game" id="9"/>
    <tableColumn name="Deaths/Game" id="10"/>
  </tableColumns>
  <tableStyleInfo name="S3 Regular Season Stats-style 6" showColumnStripes="0" showFirstColumn="1" showLastColumn="1" showRowStripes="1"/>
</table>
</file>

<file path=xl/tables/table7.xml><?xml version="1.0" encoding="utf-8"?>
<table xmlns="http://schemas.openxmlformats.org/spreadsheetml/2006/main" ref="A66:G71" displayName="Map_Pick_Bans" name="Map_Pick_Bans" id="7">
  <tableColumns count="7">
    <tableColumn name="Map" id="1"/>
    <tableColumn name="Pick" id="2"/>
    <tableColumn name="Ban" id="3"/>
    <tableColumn name="Not Picked" id="4"/>
    <tableColumn name="CT Picked" id="5"/>
    <tableColumn name="T Picked" id="6"/>
    <tableColumn name="Picked &amp; Won" id="7"/>
  </tableColumns>
  <tableStyleInfo name="S3 Regular Season Stats-style 7" showColumnStripes="0" showFirstColumn="1" showLastColumn="1" showRowStripes="1"/>
</table>
</file>

<file path=xl/tables/table8.xml><?xml version="1.0" encoding="utf-8"?>
<table xmlns="http://schemas.openxmlformats.org/spreadsheetml/2006/main" ref="I66:L68" displayName="Per_Side_Stats" name="Per_Side_Stats" id="8">
  <tableColumns count="4">
    <tableColumn name="Side" id="1"/>
    <tableColumn name="Picked" id="2"/>
    <tableColumn name="Wins/pick" id="3"/>
    <tableColumn name="Loss/Pick" id="4"/>
  </tableColumns>
  <tableStyleInfo name="S3 Regular Season Stats-style 8" showColumnStripes="0" showFirstColumn="1" showLastColumn="1" showRowStripes="1"/>
</table>
</file>

<file path=xl/tables/table9.xml><?xml version="1.0" encoding="utf-8"?>
<table xmlns="http://schemas.openxmlformats.org/spreadsheetml/2006/main" headerRowCount="0" ref="A74:J82" displayName="Table_1" name="Table_1" id="9">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S3 Regular Season Stats-style 9" showColumnStripes="0" showFirstColumn="1" showLastColumn="1" showRowStripes="1"/>
</table>
</file>

<file path=xl/tables/table10.xml><?xml version="1.0" encoding="utf-8"?>
<table xmlns="http://schemas.openxmlformats.org/spreadsheetml/2006/main" ref="A4:I6" displayName="Table1" name="Table1" id="10">
  <tableColumns count="9">
    <tableColumn name="Shirts" id="1"/>
    <tableColumn name="K" id="2"/>
    <tableColumn name="A" id="3"/>
    <tableColumn name="D" id="4"/>
    <tableColumn name="ADR" id="5"/>
    <tableColumn name="DMG" id="6"/>
    <tableColumn name="Rounds" id="7"/>
    <tableColumn name="Rounds Won" id="8"/>
    <tableColumn name="Win" id="9"/>
  </tableColumns>
  <tableStyleInfo name="S3 Regular Season-style" showColumnStripes="0" showFirstColumn="1" showLastColumn="1" showRowStripes="1"/>
</table>
</file>

<file path=xl/tables/table11.xml><?xml version="1.0" encoding="utf-8"?>
<table xmlns="http://schemas.openxmlformats.org/spreadsheetml/2006/main" ref="K4:S6" displayName="Table2" name="Table2" id="11">
  <tableColumns count="9">
    <tableColumn name="Skins" id="1"/>
    <tableColumn name="K" id="2"/>
    <tableColumn name="A" id="3"/>
    <tableColumn name="D" id="4"/>
    <tableColumn name="ADR" id="5"/>
    <tableColumn name="DMG" id="6"/>
    <tableColumn name="Rounds" id="7"/>
    <tableColumn name="Rounds Won" id="8"/>
    <tableColumn name="Win" id="9"/>
  </tableColumns>
  <tableStyleInfo name="S3 Regular Season-style 2" showColumnStripes="0" showFirstColumn="1" showLastColumn="1" showRowStripes="1"/>
</table>
</file>

<file path=xl/tables/table12.xml><?xml version="1.0" encoding="utf-8"?>
<table xmlns="http://schemas.openxmlformats.org/spreadsheetml/2006/main" ref="U4:Y5" displayName="Table31" name="Table31" id="12">
  <tableColumns count="5">
    <tableColumn name="Shirts Ban" id="1"/>
    <tableColumn name="Skins Ban 1" id="2"/>
    <tableColumn name="Skins Ban 2" id="3"/>
    <tableColumn name="Shirts Pick" id="4"/>
    <tableColumn name="Skins Side" id="5"/>
  </tableColumns>
  <tableStyleInfo name="S3 Regular Season-style 3" showColumnStripes="0" showFirstColumn="1" showLastColumn="1" showRowStripes="1"/>
</table>
</file>

<file path=xl/tables/table13.xml><?xml version="1.0" encoding="utf-8"?>
<table xmlns="http://schemas.openxmlformats.org/spreadsheetml/2006/main" headerRowCount="0" ref="AA4:AX13" displayName="Table_2" name="Table_2" id="13">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S3 Regular Season-style 4" showColumnStripes="0" showFirstColumn="1" showLastColumn="1" showRowStripes="1"/>
</table>
</file>

<file path=xl/tables/table14.xml><?xml version="1.0" encoding="utf-8"?>
<table xmlns="http://schemas.openxmlformats.org/spreadsheetml/2006/main" ref="A11:I13" displayName="Table3" name="Table3" id="14">
  <tableColumns count="9">
    <tableColumn name="Shirts" id="1"/>
    <tableColumn name="K" id="2"/>
    <tableColumn name="A" id="3"/>
    <tableColumn name="D" id="4"/>
    <tableColumn name="ADR" id="5"/>
    <tableColumn name="DMG" id="6"/>
    <tableColumn name="Rounds" id="7"/>
    <tableColumn name="Rounds Won" id="8"/>
    <tableColumn name="Column 9" id="9"/>
  </tableColumns>
  <tableStyleInfo name="S3 Regular Season-style 5" showColumnStripes="0" showFirstColumn="1" showLastColumn="1" showRowStripes="1"/>
</table>
</file>

<file path=xl/tables/table15.xml><?xml version="1.0" encoding="utf-8"?>
<table xmlns="http://schemas.openxmlformats.org/spreadsheetml/2006/main" ref="K11:S13" displayName="Table4" name="Table4" id="15">
  <tableColumns count="9">
    <tableColumn name="Skins" id="1"/>
    <tableColumn name="K" id="2"/>
    <tableColumn name="A" id="3"/>
    <tableColumn name="D" id="4"/>
    <tableColumn name="ADR" id="5"/>
    <tableColumn name="DMG" id="6"/>
    <tableColumn name="Rounds" id="7"/>
    <tableColumn name="Rounds Won" id="8"/>
    <tableColumn name="Column 9" id="9"/>
  </tableColumns>
  <tableStyleInfo name="S3 Regular Season-style 6" showColumnStripes="0" showFirstColumn="1" showLastColumn="1" showRowStripes="1"/>
</table>
</file>

<file path=xl/tables/table16.xml><?xml version="1.0" encoding="utf-8"?>
<table xmlns="http://schemas.openxmlformats.org/spreadsheetml/2006/main" ref="U11:Y12" displayName="Table33" name="Table33" id="16">
  <tableColumns count="5">
    <tableColumn name="Shirts Ban" id="1"/>
    <tableColumn name="Skins Ban 1" id="2"/>
    <tableColumn name="Skins Ban 2" id="3"/>
    <tableColumn name="Shirts Pick" id="4"/>
    <tableColumn name="Skins Side" id="5"/>
  </tableColumns>
  <tableStyleInfo name="S3 Regular Season-style 7" showColumnStripes="0" showFirstColumn="1" showLastColumn="1" showRowStripes="1"/>
</table>
</file>

<file path=xl/tables/table17.xml><?xml version="1.0" encoding="utf-8"?>
<table xmlns="http://schemas.openxmlformats.org/spreadsheetml/2006/main" ref="A19:I21" displayName="Table7" name="Table7" id="17">
  <tableColumns count="9">
    <tableColumn name="Shirts" id="1"/>
    <tableColumn name="K" id="2"/>
    <tableColumn name="A" id="3"/>
    <tableColumn name="D" id="4"/>
    <tableColumn name="ADR" id="5"/>
    <tableColumn name="DMG" id="6"/>
    <tableColumn name="Rounds" id="7"/>
    <tableColumn name="Rounds Won" id="8"/>
    <tableColumn name="Column 9" id="9"/>
  </tableColumns>
  <tableStyleInfo name="S3 Regular Season-style 8" showColumnStripes="0" showFirstColumn="1" showLastColumn="1" showRowStripes="1"/>
</table>
</file>

<file path=xl/tables/table18.xml><?xml version="1.0" encoding="utf-8"?>
<table xmlns="http://schemas.openxmlformats.org/spreadsheetml/2006/main" ref="K19:S21" displayName="Table6" name="Table6" id="18">
  <tableColumns count="9">
    <tableColumn name="Skins" id="1"/>
    <tableColumn name="K" id="2"/>
    <tableColumn name="A" id="3"/>
    <tableColumn name="D" id="4"/>
    <tableColumn name="ADR" id="5"/>
    <tableColumn name="DMG" id="6"/>
    <tableColumn name="Rounds" id="7"/>
    <tableColumn name="Rounds Won" id="8"/>
    <tableColumn name="Column 9" id="9"/>
  </tableColumns>
  <tableStyleInfo name="S3 Regular Season-style 9" showColumnStripes="0" showFirstColumn="1" showLastColumn="1" showRowStripes="1"/>
</table>
</file>

<file path=xl/tables/table19.xml><?xml version="1.0" encoding="utf-8"?>
<table xmlns="http://schemas.openxmlformats.org/spreadsheetml/2006/main" ref="U19:Y20" displayName="Table5" name="Table5" id="19">
  <tableColumns count="5">
    <tableColumn name="Shirts Ban" id="1"/>
    <tableColumn name="Skins Ban 1" id="2"/>
    <tableColumn name="Skins Ban 2" id="3"/>
    <tableColumn name="Shirts Pick" id="4"/>
    <tableColumn name="Skins Side" id="5"/>
  </tableColumns>
  <tableStyleInfo name="S3 Regular Season-style 10" showColumnStripes="0" showFirstColumn="1" showLastColumn="1" showRowStripes="1"/>
</table>
</file>

<file path=xl/tables/table20.xml><?xml version="1.0" encoding="utf-8"?>
<table xmlns="http://schemas.openxmlformats.org/spreadsheetml/2006/main" ref="A26:I28" displayName="Table15" name="Table15" id="20">
  <tableColumns count="9">
    <tableColumn name="Shirts" id="1"/>
    <tableColumn name="K" id="2"/>
    <tableColumn name="A" id="3"/>
    <tableColumn name="D" id="4"/>
    <tableColumn name="ADR" id="5"/>
    <tableColumn name="DMG" id="6"/>
    <tableColumn name="Rounds" id="7"/>
    <tableColumn name="Rounds Won" id="8"/>
    <tableColumn name="Win" id="9"/>
  </tableColumns>
  <tableStyleInfo name="S3 Regular Season-style 11" showColumnStripes="0" showFirstColumn="1" showLastColumn="1" showRowStripes="1"/>
</table>
</file>

<file path=xl/tables/table21.xml><?xml version="1.0" encoding="utf-8"?>
<table xmlns="http://schemas.openxmlformats.org/spreadsheetml/2006/main" ref="K26:S28" displayName="Table13" name="Table13" id="21">
  <tableColumns count="9">
    <tableColumn name="Skins" id="1"/>
    <tableColumn name="K" id="2"/>
    <tableColumn name="A" id="3"/>
    <tableColumn name="D" id="4"/>
    <tableColumn name="ADR" id="5"/>
    <tableColumn name="DMG" id="6"/>
    <tableColumn name="Rounds" id="7"/>
    <tableColumn name="Rounds Won" id="8"/>
    <tableColumn name="Win" id="9"/>
  </tableColumns>
  <tableStyleInfo name="S3 Regular Season-style 12" showColumnStripes="0" showFirstColumn="1" showLastColumn="1" showRowStripes="1"/>
</table>
</file>

<file path=xl/tables/table22.xml><?xml version="1.0" encoding="utf-8"?>
<table xmlns="http://schemas.openxmlformats.org/spreadsheetml/2006/main" ref="U26:Y27" displayName="Table14" name="Table14" id="22">
  <tableColumns count="5">
    <tableColumn name="Shirts Ban" id="1"/>
    <tableColumn name="Skins Ban 1" id="2"/>
    <tableColumn name="Skins Ban 2" id="3"/>
    <tableColumn name="Shirts Pick" id="4"/>
    <tableColumn name="Skins Side" id="5"/>
  </tableColumns>
  <tableStyleInfo name="S3 Regular Season-style 13" showColumnStripes="0" showFirstColumn="1" showLastColumn="1" showRowStripes="1"/>
</table>
</file>

<file path=xl/tables/table23.xml><?xml version="1.0" encoding="utf-8"?>
<table xmlns="http://schemas.openxmlformats.org/spreadsheetml/2006/main" ref="A33:I35" displayName="Table16" name="Table16" id="23">
  <tableColumns count="9">
    <tableColumn name="Shirts" id="1"/>
    <tableColumn name="K" id="2"/>
    <tableColumn name="A" id="3"/>
    <tableColumn name="D" id="4"/>
    <tableColumn name="ADR" id="5"/>
    <tableColumn name="DMG" id="6"/>
    <tableColumn name="Rounds" id="7"/>
    <tableColumn name="Rounds Won" id="8"/>
    <tableColumn name="Column 9" id="9"/>
  </tableColumns>
  <tableStyleInfo name="S3 Regular Season-style 14" showColumnStripes="0" showFirstColumn="1" showLastColumn="1" showRowStripes="1"/>
</table>
</file>

<file path=xl/tables/table24.xml><?xml version="1.0" encoding="utf-8"?>
<table xmlns="http://schemas.openxmlformats.org/spreadsheetml/2006/main" ref="K33:S35" displayName="Table9" name="Table9" id="24">
  <tableColumns count="9">
    <tableColumn name="Skins" id="1"/>
    <tableColumn name="K" id="2"/>
    <tableColumn name="A" id="3"/>
    <tableColumn name="D" id="4"/>
    <tableColumn name="ADR" id="5"/>
    <tableColumn name="DMG" id="6"/>
    <tableColumn name="Rounds" id="7"/>
    <tableColumn name="Rounds Won" id="8"/>
    <tableColumn name="Column 9" id="9"/>
  </tableColumns>
  <tableStyleInfo name="S3 Regular Season-style 15" showColumnStripes="0" showFirstColumn="1" showLastColumn="1" showRowStripes="1"/>
</table>
</file>

<file path=xl/tables/table25.xml><?xml version="1.0" encoding="utf-8"?>
<table xmlns="http://schemas.openxmlformats.org/spreadsheetml/2006/main" ref="U33:Y34" displayName="Table8" name="Table8" id="25">
  <tableColumns count="5">
    <tableColumn name="Shirts Ban" id="1"/>
    <tableColumn name="Skins Ban 1" id="2"/>
    <tableColumn name="Skins Ban 2" id="3"/>
    <tableColumn name="Shirts Pick" id="4"/>
    <tableColumn name="Skins Side" id="5"/>
  </tableColumns>
  <tableStyleInfo name="S3 Regular Season-style 16" showColumnStripes="0" showFirstColumn="1" showLastColumn="1" showRowStripes="1"/>
</table>
</file>

<file path=xl/tables/table26.xml><?xml version="1.0" encoding="utf-8"?>
<table xmlns="http://schemas.openxmlformats.org/spreadsheetml/2006/main" ref="A41:I43" displayName="Table11" name="Table11" id="26">
  <tableColumns count="9">
    <tableColumn name="Shirts" id="1"/>
    <tableColumn name="K" id="2"/>
    <tableColumn name="A" id="3"/>
    <tableColumn name="D" id="4"/>
    <tableColumn name="ADR" id="5"/>
    <tableColumn name="DMG" id="6"/>
    <tableColumn name="Rounds" id="7"/>
    <tableColumn name="Rounds Won" id="8"/>
    <tableColumn name="Column 9" id="9"/>
  </tableColumns>
  <tableStyleInfo name="S3 Regular Season-style 17" showColumnStripes="0" showFirstColumn="1" showLastColumn="1" showRowStripes="1"/>
</table>
</file>

<file path=xl/tables/table27.xml><?xml version="1.0" encoding="utf-8"?>
<table xmlns="http://schemas.openxmlformats.org/spreadsheetml/2006/main" ref="K41:S43" displayName="Table12" name="Table12" id="27">
  <tableColumns count="9">
    <tableColumn name="Skins" id="1"/>
    <tableColumn name="K" id="2"/>
    <tableColumn name="A" id="3"/>
    <tableColumn name="D" id="4"/>
    <tableColumn name="ADR" id="5"/>
    <tableColumn name="DMG" id="6"/>
    <tableColumn name="Rounds" id="7"/>
    <tableColumn name="Rounds Won" id="8"/>
    <tableColumn name="Column 9" id="9"/>
  </tableColumns>
  <tableStyleInfo name="S3 Regular Season-style 18" showColumnStripes="0" showFirstColumn="1" showLastColumn="1" showRowStripes="1"/>
</table>
</file>

<file path=xl/tables/table28.xml><?xml version="1.0" encoding="utf-8"?>
<table xmlns="http://schemas.openxmlformats.org/spreadsheetml/2006/main" ref="U41:Y42" displayName="Table10" name="Table10" id="28">
  <tableColumns count="5">
    <tableColumn name="Shirts Ban" id="1"/>
    <tableColumn name="Skins Ban 1" id="2"/>
    <tableColumn name="Skins Ban 2" id="3"/>
    <tableColumn name="Shirts Pick" id="4"/>
    <tableColumn name="Skins Side" id="5"/>
  </tableColumns>
  <tableStyleInfo name="S3 Regular Season-style 19" showColumnStripes="0" showFirstColumn="1" showLastColumn="1" showRowStripes="1"/>
</table>
</file>

<file path=xl/tables/table29.xml><?xml version="1.0" encoding="utf-8"?>
<table xmlns="http://schemas.openxmlformats.org/spreadsheetml/2006/main" ref="A48:I50" displayName="Table22" name="Table22" id="29">
  <tableColumns count="9">
    <tableColumn name="Shirts" id="1"/>
    <tableColumn name="K" id="2"/>
    <tableColumn name="A" id="3"/>
    <tableColumn name="D" id="4"/>
    <tableColumn name="ADR" id="5"/>
    <tableColumn name="DMG" id="6"/>
    <tableColumn name="Rounds" id="7"/>
    <tableColumn name="Rounds Won" id="8"/>
    <tableColumn name="Win" id="9"/>
  </tableColumns>
  <tableStyleInfo name="S3 Regular Season-style 20" showColumnStripes="0" showFirstColumn="1" showLastColumn="1" showRowStripes="1"/>
</table>
</file>

<file path=xl/tables/table30.xml><?xml version="1.0" encoding="utf-8"?>
<table xmlns="http://schemas.openxmlformats.org/spreadsheetml/2006/main" ref="K48:S50" displayName="Table21" name="Table21" id="30">
  <tableColumns count="9">
    <tableColumn name="Skins" id="1"/>
    <tableColumn name="K" id="2"/>
    <tableColumn name="A" id="3"/>
    <tableColumn name="D" id="4"/>
    <tableColumn name="ADR" id="5"/>
    <tableColumn name="DMG" id="6"/>
    <tableColumn name="Rounds" id="7"/>
    <tableColumn name="Rounds Won" id="8"/>
    <tableColumn name="Win" id="9"/>
  </tableColumns>
  <tableStyleInfo name="S3 Regular Season-style 21" showColumnStripes="0" showFirstColumn="1" showLastColumn="1" showRowStripes="1"/>
</table>
</file>

<file path=xl/tables/table31.xml><?xml version="1.0" encoding="utf-8"?>
<table xmlns="http://schemas.openxmlformats.org/spreadsheetml/2006/main" ref="U48:Y49" displayName="Table17" name="Table17" id="31">
  <tableColumns count="5">
    <tableColumn name="Shirts Ban" id="1"/>
    <tableColumn name="Skins Ban 1" id="2"/>
    <tableColumn name="Skins Ban 2" id="3"/>
    <tableColumn name="Shirts Pick" id="4"/>
    <tableColumn name="Skins Side" id="5"/>
  </tableColumns>
  <tableStyleInfo name="S3 Regular Season-style 22" showColumnStripes="0" showFirstColumn="1" showLastColumn="1" showRowStripes="1"/>
</table>
</file>

<file path=xl/tables/table32.xml><?xml version="1.0" encoding="utf-8"?>
<table xmlns="http://schemas.openxmlformats.org/spreadsheetml/2006/main" ref="A55:I57" displayName="Table25" name="Table25" id="32">
  <tableColumns count="9">
    <tableColumn name="Shirts" id="1"/>
    <tableColumn name="K" id="2"/>
    <tableColumn name="A" id="3"/>
    <tableColumn name="D" id="4"/>
    <tableColumn name="ADR" id="5"/>
    <tableColumn name="DMG" id="6"/>
    <tableColumn name="Rounds" id="7"/>
    <tableColumn name="Rounds Won" id="8"/>
    <tableColumn name="Column 9" id="9"/>
  </tableColumns>
  <tableStyleInfo name="S3 Regular Season-style 23" showColumnStripes="0" showFirstColumn="1" showLastColumn="1" showRowStripes="1"/>
</table>
</file>

<file path=xl/tables/table33.xml><?xml version="1.0" encoding="utf-8"?>
<table xmlns="http://schemas.openxmlformats.org/spreadsheetml/2006/main" ref="K55:S57" displayName="Table24" name="Table24" id="33">
  <tableColumns count="9">
    <tableColumn name="Skins" id="1"/>
    <tableColumn name="K" id="2"/>
    <tableColumn name="A" id="3"/>
    <tableColumn name="D" id="4"/>
    <tableColumn name="ADR" id="5"/>
    <tableColumn name="DMG" id="6"/>
    <tableColumn name="Rounds" id="7"/>
    <tableColumn name="Rounds Won" id="8"/>
    <tableColumn name="Column 9" id="9"/>
  </tableColumns>
  <tableStyleInfo name="S3 Regular Season-style 24" showColumnStripes="0" showFirstColumn="1" showLastColumn="1" showRowStripes="1"/>
</table>
</file>

<file path=xl/tables/table34.xml><?xml version="1.0" encoding="utf-8"?>
<table xmlns="http://schemas.openxmlformats.org/spreadsheetml/2006/main" ref="U55:Y56" displayName="Table23" name="Table23" id="34">
  <tableColumns count="5">
    <tableColumn name="Shirts Ban" id="1"/>
    <tableColumn name="Skins Ban 1" id="2"/>
    <tableColumn name="Skins Ban 2" id="3"/>
    <tableColumn name="Shirts Pick" id="4"/>
    <tableColumn name="Skins Side" id="5"/>
  </tableColumns>
  <tableStyleInfo name="S3 Regular Season-style 25" showColumnStripes="0" showFirstColumn="1" showLastColumn="1" showRowStripes="1"/>
</table>
</file>

<file path=xl/tables/table35.xml><?xml version="1.0" encoding="utf-8"?>
<table xmlns="http://schemas.openxmlformats.org/spreadsheetml/2006/main" ref="A63:I65" displayName="Table19" name="Table19" id="35">
  <tableColumns count="9">
    <tableColumn name="Shirts" id="1"/>
    <tableColumn name="K" id="2"/>
    <tableColumn name="A" id="3"/>
    <tableColumn name="D" id="4"/>
    <tableColumn name="ADR" id="5"/>
    <tableColumn name="DMG" id="6"/>
    <tableColumn name="Rounds" id="7"/>
    <tableColumn name="Rounds Won" id="8"/>
    <tableColumn name="Column 9" id="9"/>
  </tableColumns>
  <tableStyleInfo name="S3 Regular Season-style 26" showColumnStripes="0" showFirstColumn="1" showLastColumn="1" showRowStripes="1"/>
</table>
</file>

<file path=xl/tables/table36.xml><?xml version="1.0" encoding="utf-8"?>
<table xmlns="http://schemas.openxmlformats.org/spreadsheetml/2006/main" ref="K63:S65" displayName="Table20" name="Table20" id="36">
  <tableColumns count="9">
    <tableColumn name="Skins" id="1"/>
    <tableColumn name="K" id="2"/>
    <tableColumn name="A" id="3"/>
    <tableColumn name="D" id="4"/>
    <tableColumn name="ADR" id="5"/>
    <tableColumn name="DMG" id="6"/>
    <tableColumn name="Rounds" id="7"/>
    <tableColumn name="Rounds Won" id="8"/>
    <tableColumn name="Column 9" id="9"/>
  </tableColumns>
  <tableStyleInfo name="S3 Regular Season-style 27" showColumnStripes="0" showFirstColumn="1" showLastColumn="1" showRowStripes="1"/>
</table>
</file>

<file path=xl/tables/table37.xml><?xml version="1.0" encoding="utf-8"?>
<table xmlns="http://schemas.openxmlformats.org/spreadsheetml/2006/main" ref="U63:Y64" displayName="Table18" name="Table18" id="37">
  <tableColumns count="5">
    <tableColumn name="Shirts Ban" id="1"/>
    <tableColumn name="Skins Ban 1" id="2"/>
    <tableColumn name="Skins Ban 2" id="3"/>
    <tableColumn name="Shirts Pick" id="4"/>
    <tableColumn name="Skins Side" id="5"/>
  </tableColumns>
  <tableStyleInfo name="S3 Regular Season-style 28" showColumnStripes="0" showFirstColumn="1" showLastColumn="1" showRowStripes="1"/>
</table>
</file>

<file path=xl/tables/table38.xml><?xml version="1.0" encoding="utf-8"?>
<table xmlns="http://schemas.openxmlformats.org/spreadsheetml/2006/main" ref="A70:I72" displayName="Table27" name="Table27" id="38">
  <tableColumns count="9">
    <tableColumn name="Shirts" id="1"/>
    <tableColumn name="K" id="2"/>
    <tableColumn name="A" id="3"/>
    <tableColumn name="D" id="4"/>
    <tableColumn name="ADR" id="5"/>
    <tableColumn name="DMG" id="6"/>
    <tableColumn name="Rounds" id="7"/>
    <tableColumn name="Rounds Won" id="8"/>
    <tableColumn name="Win" id="9"/>
  </tableColumns>
  <tableStyleInfo name="S3 Regular Season-style 29" showColumnStripes="0" showFirstColumn="1" showLastColumn="1" showRowStripes="1"/>
</table>
</file>

<file path=xl/tables/table39.xml><?xml version="1.0" encoding="utf-8"?>
<table xmlns="http://schemas.openxmlformats.org/spreadsheetml/2006/main" ref="K70:S72" displayName="Table26" name="Table26" id="39">
  <tableColumns count="9">
    <tableColumn name="Skins" id="1"/>
    <tableColumn name="K" id="2"/>
    <tableColumn name="A" id="3"/>
    <tableColumn name="D" id="4"/>
    <tableColumn name="ADR" id="5"/>
    <tableColumn name="DMG" id="6"/>
    <tableColumn name="Rounds" id="7"/>
    <tableColumn name="Rounds Won" id="8"/>
    <tableColumn name="Win" id="9"/>
  </tableColumns>
  <tableStyleInfo name="S3 Regular Season-style 30" showColumnStripes="0" showFirstColumn="1" showLastColumn="1" showRowStripes="1"/>
</table>
</file>

<file path=xl/tables/table40.xml><?xml version="1.0" encoding="utf-8"?>
<table xmlns="http://schemas.openxmlformats.org/spreadsheetml/2006/main" ref="U70:Y71" displayName="Table30" name="Table30" id="40">
  <tableColumns count="5">
    <tableColumn name="Shirts Ban" id="1"/>
    <tableColumn name="Skins Ban 1" id="2"/>
    <tableColumn name="Skins Ban 2" id="3"/>
    <tableColumn name="Shirts Pick" id="4"/>
    <tableColumn name="Skins Side" id="5"/>
  </tableColumns>
  <tableStyleInfo name="S3 Regular Season-style 31" showColumnStripes="0" showFirstColumn="1" showLastColumn="1" showRowStripes="1"/>
</table>
</file>

<file path=xl/tables/table41.xml><?xml version="1.0" encoding="utf-8"?>
<table xmlns="http://schemas.openxmlformats.org/spreadsheetml/2006/main" ref="A77:I79" displayName="Table36" name="Table36" id="41">
  <tableColumns count="9">
    <tableColumn name="Shirts" id="1"/>
    <tableColumn name="K" id="2"/>
    <tableColumn name="A" id="3"/>
    <tableColumn name="D" id="4"/>
    <tableColumn name="ADR" id="5"/>
    <tableColumn name="DMG" id="6"/>
    <tableColumn name="Rounds" id="7"/>
    <tableColumn name="Rounds Won" id="8"/>
    <tableColumn name="Column 9" id="9"/>
  </tableColumns>
  <tableStyleInfo name="S3 Regular Season-style 32" showColumnStripes="0" showFirstColumn="1" showLastColumn="1" showRowStripes="1"/>
</table>
</file>

<file path=xl/tables/table42.xml><?xml version="1.0" encoding="utf-8"?>
<table xmlns="http://schemas.openxmlformats.org/spreadsheetml/2006/main" ref="K77:S79" displayName="Table29" name="Table29" id="42">
  <tableColumns count="9">
    <tableColumn name="Skins" id="1"/>
    <tableColumn name="K" id="2"/>
    <tableColumn name="A" id="3"/>
    <tableColumn name="D" id="4"/>
    <tableColumn name="ADR" id="5"/>
    <tableColumn name="DMG" id="6"/>
    <tableColumn name="Rounds" id="7"/>
    <tableColumn name="Rounds Won" id="8"/>
    <tableColumn name="Column 9" id="9"/>
  </tableColumns>
  <tableStyleInfo name="S3 Regular Season-style 33" showColumnStripes="0" showFirstColumn="1" showLastColumn="1" showRowStripes="1"/>
</table>
</file>

<file path=xl/tables/table43.xml><?xml version="1.0" encoding="utf-8"?>
<table xmlns="http://schemas.openxmlformats.org/spreadsheetml/2006/main" ref="U77:Y78" displayName="Table28" name="Table28" id="43">
  <tableColumns count="5">
    <tableColumn name="Shirts Ban" id="1"/>
    <tableColumn name="Skins Ban 1" id="2"/>
    <tableColumn name="Skins Ban 2" id="3"/>
    <tableColumn name="Shirts Pick" id="4"/>
    <tableColumn name="Skins Side" id="5"/>
  </tableColumns>
  <tableStyleInfo name="S3 Regular Season-style 34" showColumnStripes="0" showFirstColumn="1" showLastColumn="1" showRowStripes="1"/>
</table>
</file>

<file path=xl/tables/table44.xml><?xml version="1.0" encoding="utf-8"?>
<table xmlns="http://schemas.openxmlformats.org/spreadsheetml/2006/main" ref="A85:I87" displayName="Table34" name="Table34" id="44">
  <tableColumns count="9">
    <tableColumn name="Shirts" id="1"/>
    <tableColumn name="K" id="2"/>
    <tableColumn name="A" id="3"/>
    <tableColumn name="D" id="4"/>
    <tableColumn name="ADR" id="5"/>
    <tableColumn name="DMG" id="6"/>
    <tableColumn name="Rounds" id="7"/>
    <tableColumn name="Rounds Won" id="8"/>
    <tableColumn name="Column 9" id="9"/>
  </tableColumns>
  <tableStyleInfo name="S3 Regular Season-style 35" showColumnStripes="0" showFirstColumn="1" showLastColumn="1" showRowStripes="1"/>
</table>
</file>

<file path=xl/tables/table45.xml><?xml version="1.0" encoding="utf-8"?>
<table xmlns="http://schemas.openxmlformats.org/spreadsheetml/2006/main" ref="K85:S87" displayName="Table35" name="Table35" id="45">
  <tableColumns count="9">
    <tableColumn name="Skins" id="1"/>
    <tableColumn name="K" id="2"/>
    <tableColumn name="A" id="3"/>
    <tableColumn name="D" id="4"/>
    <tableColumn name="ADR" id="5"/>
    <tableColumn name="DMG" id="6"/>
    <tableColumn name="Rounds" id="7"/>
    <tableColumn name="Rounds Won" id="8"/>
    <tableColumn name="Column 9" id="9"/>
  </tableColumns>
  <tableStyleInfo name="S3 Regular Season-style 36" showColumnStripes="0" showFirstColumn="1" showLastColumn="1" showRowStripes="1"/>
</table>
</file>

<file path=xl/tables/table46.xml><?xml version="1.0" encoding="utf-8"?>
<table xmlns="http://schemas.openxmlformats.org/spreadsheetml/2006/main" ref="U85:Y86" displayName="Table32" name="Table32" id="46">
  <tableColumns count="5">
    <tableColumn name="Shirts Ban" id="1"/>
    <tableColumn name="Skins Ban 1" id="2"/>
    <tableColumn name="Skins Ban 2" id="3"/>
    <tableColumn name="Shirts Pick" id="4"/>
    <tableColumn name="Skins Side" id="5"/>
  </tableColumns>
  <tableStyleInfo name="S3 Regular Season-style 37" showColumnStripes="0" showFirstColumn="1" showLastColumn="1" showRowStripes="1"/>
</table>
</file>

<file path=xl/tables/table47.xml><?xml version="1.0" encoding="utf-8"?>
<table xmlns="http://schemas.openxmlformats.org/spreadsheetml/2006/main" ref="A92:I94" displayName="Table38" name="Table38" id="47">
  <tableColumns count="9">
    <tableColumn name="Shirts" id="1"/>
    <tableColumn name="K" id="2"/>
    <tableColumn name="A" id="3"/>
    <tableColumn name="D" id="4"/>
    <tableColumn name="ADR" id="5"/>
    <tableColumn name="DMG" id="6"/>
    <tableColumn name="Rounds" id="7"/>
    <tableColumn name="Rounds Won" id="8"/>
    <tableColumn name="Win" id="9"/>
  </tableColumns>
  <tableStyleInfo name="S3 Regular Season-style 38" showColumnStripes="0" showFirstColumn="1" showLastColumn="1" showRowStripes="1"/>
</table>
</file>

<file path=xl/tables/table48.xml><?xml version="1.0" encoding="utf-8"?>
<table xmlns="http://schemas.openxmlformats.org/spreadsheetml/2006/main" ref="K92:S94" displayName="Table37" name="Table37" id="48">
  <tableColumns count="9">
    <tableColumn name="Skins" id="1"/>
    <tableColumn name="K" id="2"/>
    <tableColumn name="A" id="3"/>
    <tableColumn name="D" id="4"/>
    <tableColumn name="ADR" id="5"/>
    <tableColumn name="DMG" id="6"/>
    <tableColumn name="Rounds" id="7"/>
    <tableColumn name="Rounds Won" id="8"/>
    <tableColumn name="Win" id="9"/>
  </tableColumns>
  <tableStyleInfo name="S3 Regular Season-style 39" showColumnStripes="0" showFirstColumn="1" showLastColumn="1" showRowStripes="1"/>
</table>
</file>

<file path=xl/tables/table49.xml><?xml version="1.0" encoding="utf-8"?>
<table xmlns="http://schemas.openxmlformats.org/spreadsheetml/2006/main" ref="U92:Y93" displayName="Table41" name="Table41" id="49">
  <tableColumns count="5">
    <tableColumn name="Shirts Ban" id="1"/>
    <tableColumn name="Skins Ban 1" id="2"/>
    <tableColumn name="Skins Ban 2" id="3"/>
    <tableColumn name="Shirts Pick" id="4"/>
    <tableColumn name="Skins Side" id="5"/>
  </tableColumns>
  <tableStyleInfo name="S3 Regular Season-style 40" showColumnStripes="0" showFirstColumn="1" showLastColumn="1" showRowStripes="1"/>
</table>
</file>

<file path=xl/tables/table50.xml><?xml version="1.0" encoding="utf-8"?>
<table xmlns="http://schemas.openxmlformats.org/spreadsheetml/2006/main" ref="A99:I101" displayName="Table43" name="Table43" id="50">
  <tableColumns count="9">
    <tableColumn name="Shirts" id="1"/>
    <tableColumn name="K" id="2"/>
    <tableColumn name="A" id="3"/>
    <tableColumn name="D" id="4"/>
    <tableColumn name="ADR" id="5"/>
    <tableColumn name="DMG" id="6"/>
    <tableColumn name="Rounds" id="7"/>
    <tableColumn name="Rounds Won" id="8"/>
    <tableColumn name="Column 9" id="9"/>
  </tableColumns>
  <tableStyleInfo name="S3 Regular Season-style 41" showColumnStripes="0" showFirstColumn="1" showLastColumn="1" showRowStripes="1"/>
</table>
</file>

<file path=xl/tables/table51.xml><?xml version="1.0" encoding="utf-8"?>
<table xmlns="http://schemas.openxmlformats.org/spreadsheetml/2006/main" ref="K99:S101" displayName="Table40" name="Table40" id="51">
  <tableColumns count="9">
    <tableColumn name="Skins" id="1"/>
    <tableColumn name="K" id="2"/>
    <tableColumn name="A" id="3"/>
    <tableColumn name="D" id="4"/>
    <tableColumn name="ADR" id="5"/>
    <tableColumn name="DMG" id="6"/>
    <tableColumn name="Rounds" id="7"/>
    <tableColumn name="Rounds Won" id="8"/>
    <tableColumn name="Column 9" id="9"/>
  </tableColumns>
  <tableStyleInfo name="S3 Regular Season-style 42" showColumnStripes="0" showFirstColumn="1" showLastColumn="1" showRowStripes="1"/>
</table>
</file>

<file path=xl/tables/table52.xml><?xml version="1.0" encoding="utf-8"?>
<table xmlns="http://schemas.openxmlformats.org/spreadsheetml/2006/main" ref="U99:Y100" displayName="Table39" name="Table39" id="52">
  <tableColumns count="5">
    <tableColumn name="Shirts Ban" id="1"/>
    <tableColumn name="Skins Ban 1" id="2"/>
    <tableColumn name="Skins Ban 2" id="3"/>
    <tableColumn name="Shirts Pick" id="4"/>
    <tableColumn name="Skins Side" id="5"/>
  </tableColumns>
  <tableStyleInfo name="S3 Regular Season-style 43" showColumnStripes="0" showFirstColumn="1" showLastColumn="1" showRowStripes="1"/>
</table>
</file>

<file path=xl/tables/table53.xml><?xml version="1.0" encoding="utf-8"?>
<table xmlns="http://schemas.openxmlformats.org/spreadsheetml/2006/main" ref="A107:I109" displayName="Table44" name="Table44" id="53">
  <tableColumns count="9">
    <tableColumn name="Shirts" id="1"/>
    <tableColumn name="K" id="2"/>
    <tableColumn name="A" id="3"/>
    <tableColumn name="D" id="4"/>
    <tableColumn name="ADR" id="5"/>
    <tableColumn name="DMG" id="6"/>
    <tableColumn name="Rounds" id="7"/>
    <tableColumn name="Rounds Won" id="8"/>
    <tableColumn name="Column 9" id="9"/>
  </tableColumns>
  <tableStyleInfo name="S3 Regular Season-style 44" showColumnStripes="0" showFirstColumn="1" showLastColumn="1" showRowStripes="1"/>
</table>
</file>

<file path=xl/tables/table54.xml><?xml version="1.0" encoding="utf-8"?>
<table xmlns="http://schemas.openxmlformats.org/spreadsheetml/2006/main" ref="K107:S109" displayName="Table45" name="Table45" id="54">
  <tableColumns count="9">
    <tableColumn name="Skins" id="1"/>
    <tableColumn name="K" id="2"/>
    <tableColumn name="A" id="3"/>
    <tableColumn name="D" id="4"/>
    <tableColumn name="ADR" id="5"/>
    <tableColumn name="DMG" id="6"/>
    <tableColumn name="Rounds" id="7"/>
    <tableColumn name="Rounds Won" id="8"/>
    <tableColumn name="Column 9" id="9"/>
  </tableColumns>
  <tableStyleInfo name="S3 Regular Season-style 45" showColumnStripes="0" showFirstColumn="1" showLastColumn="1" showRowStripes="1"/>
</table>
</file>

<file path=xl/tables/table55.xml><?xml version="1.0" encoding="utf-8"?>
<table xmlns="http://schemas.openxmlformats.org/spreadsheetml/2006/main" ref="U107:Y108" displayName="Table42" name="Table42" id="55">
  <tableColumns count="5">
    <tableColumn name="Shirts Ban" id="1"/>
    <tableColumn name="Skins Ban 1" id="2"/>
    <tableColumn name="Skins Ban 2" id="3"/>
    <tableColumn name="Shirts Pick" id="4"/>
    <tableColumn name="Skins Side" id="5"/>
  </tableColumns>
  <tableStyleInfo name="S3 Regular Season-style 46" showColumnStripes="0" showFirstColumn="1" showLastColumn="1" showRowStripes="1"/>
</table>
</file>

<file path=xl/tables/table56.xml><?xml version="1.0" encoding="utf-8"?>
<table xmlns="http://schemas.openxmlformats.org/spreadsheetml/2006/main" headerRowCount="0" ref="AL111:AM111" displayName="Table_3" name="Table_3" id="56">
  <tableColumns count="2">
    <tableColumn name="Column1" id="1"/>
    <tableColumn name="Column2" id="2"/>
  </tableColumns>
  <tableStyleInfo name="S3 Regular Season-style 47" showColumnStripes="0" showFirstColumn="1" showLastColumn="1" showRowStripes="1"/>
</table>
</file>

<file path=xl/tables/table57.xml><?xml version="1.0" encoding="utf-8"?>
<table xmlns="http://schemas.openxmlformats.org/spreadsheetml/2006/main" ref="A114:I116" displayName="Table50" name="Table50" id="57">
  <tableColumns count="9">
    <tableColumn name="Shirts" id="1"/>
    <tableColumn name="K" id="2"/>
    <tableColumn name="A" id="3"/>
    <tableColumn name="D" id="4"/>
    <tableColumn name="ADR" id="5"/>
    <tableColumn name="DMG" id="6"/>
    <tableColumn name="Rounds" id="7"/>
    <tableColumn name="Rounds Won" id="8"/>
    <tableColumn name="Win" id="9"/>
  </tableColumns>
  <tableStyleInfo name="S3 Regular Season-style 48" showColumnStripes="0" showFirstColumn="1" showLastColumn="1" showRowStripes="1"/>
</table>
</file>

<file path=xl/tables/table58.xml><?xml version="1.0" encoding="utf-8"?>
<table xmlns="http://schemas.openxmlformats.org/spreadsheetml/2006/main" ref="K114:S116" displayName="Table49" name="Table49" id="58">
  <tableColumns count="9">
    <tableColumn name="Skins" id="1"/>
    <tableColumn name="K" id="2"/>
    <tableColumn name="A" id="3"/>
    <tableColumn name="D" id="4"/>
    <tableColumn name="ADR" id="5"/>
    <tableColumn name="DMG" id="6"/>
    <tableColumn name="Rounds" id="7"/>
    <tableColumn name="Rounds Won" id="8"/>
    <tableColumn name="Win" id="9"/>
  </tableColumns>
  <tableStyleInfo name="S3 Regular Season-style 49" showColumnStripes="0" showFirstColumn="1" showLastColumn="1" showRowStripes="1"/>
</table>
</file>

<file path=xl/tables/table59.xml><?xml version="1.0" encoding="utf-8"?>
<table xmlns="http://schemas.openxmlformats.org/spreadsheetml/2006/main" ref="U114:Y115" displayName="Table53" name="Table53" id="59">
  <tableColumns count="5">
    <tableColumn name="Shirts Ban" id="1"/>
    <tableColumn name="Skins Ban 1" id="2"/>
    <tableColumn name="Skins Ban 2" id="3"/>
    <tableColumn name="Shirts Pick" id="4"/>
    <tableColumn name="Skins Side" id="5"/>
  </tableColumns>
  <tableStyleInfo name="S3 Regular Season-style 50" showColumnStripes="0" showFirstColumn="1" showLastColumn="1" showRowStripes="1"/>
</table>
</file>

<file path=xl/tables/table60.xml><?xml version="1.0" encoding="utf-8"?>
<table xmlns="http://schemas.openxmlformats.org/spreadsheetml/2006/main" ref="A121:I123" displayName="Table54" name="Table54" id="60">
  <tableColumns count="9">
    <tableColumn name="Shirts" id="1"/>
    <tableColumn name="K" id="2"/>
    <tableColumn name="A" id="3"/>
    <tableColumn name="D" id="4"/>
    <tableColumn name="ADR" id="5"/>
    <tableColumn name="DMG" id="6"/>
    <tableColumn name="Rounds" id="7"/>
    <tableColumn name="Rounds Won" id="8"/>
    <tableColumn name="Column 9" id="9"/>
  </tableColumns>
  <tableStyleInfo name="S3 Regular Season-style 51" showColumnStripes="0" showFirstColumn="1" showLastColumn="1" showRowStripes="1"/>
</table>
</file>

<file path=xl/tables/table61.xml><?xml version="1.0" encoding="utf-8"?>
<table xmlns="http://schemas.openxmlformats.org/spreadsheetml/2006/main" ref="K121:S123" displayName="Table52" name="Table52" id="61">
  <tableColumns count="9">
    <tableColumn name="Skins" id="1"/>
    <tableColumn name="K" id="2"/>
    <tableColumn name="A" id="3"/>
    <tableColumn name="D" id="4"/>
    <tableColumn name="ADR" id="5"/>
    <tableColumn name="DMG" id="6"/>
    <tableColumn name="Rounds" id="7"/>
    <tableColumn name="Rounds Won" id="8"/>
    <tableColumn name="Column 9" id="9"/>
  </tableColumns>
  <tableStyleInfo name="S3 Regular Season-style 52" showColumnStripes="0" showFirstColumn="1" showLastColumn="1" showRowStripes="1"/>
</table>
</file>

<file path=xl/tables/table62.xml><?xml version="1.0" encoding="utf-8"?>
<table xmlns="http://schemas.openxmlformats.org/spreadsheetml/2006/main" ref="U121:Y122" displayName="Table51" name="Table51" id="62">
  <tableColumns count="5">
    <tableColumn name="Shirts Ban" id="1"/>
    <tableColumn name="Skins Ban 1" id="2"/>
    <tableColumn name="Skins Ban 2" id="3"/>
    <tableColumn name="Shirts Pick" id="4"/>
    <tableColumn name="Skins Side" id="5"/>
  </tableColumns>
  <tableStyleInfo name="S3 Regular Season-style 53" showColumnStripes="0" showFirstColumn="1" showLastColumn="1" showRowStripes="1"/>
</table>
</file>

<file path=xl/tables/table63.xml><?xml version="1.0" encoding="utf-8"?>
<table xmlns="http://schemas.openxmlformats.org/spreadsheetml/2006/main" ref="A129:I131" displayName="Table47" name="Table47" id="63">
  <tableColumns count="9">
    <tableColumn name="Shirts" id="1"/>
    <tableColumn name="K" id="2"/>
    <tableColumn name="A" id="3"/>
    <tableColumn name="D" id="4"/>
    <tableColumn name="ADR" id="5"/>
    <tableColumn name="DMG" id="6"/>
    <tableColumn name="Rounds" id="7"/>
    <tableColumn name="Rounds Won" id="8"/>
    <tableColumn name="Column 9" id="9"/>
  </tableColumns>
  <tableStyleInfo name="S3 Regular Season-style 54" showColumnStripes="0" showFirstColumn="1" showLastColumn="1" showRowStripes="1"/>
</table>
</file>

<file path=xl/tables/table64.xml><?xml version="1.0" encoding="utf-8"?>
<table xmlns="http://schemas.openxmlformats.org/spreadsheetml/2006/main" ref="K129:S131" displayName="Table48" name="Table48" id="64">
  <tableColumns count="9">
    <tableColumn name="Skins" id="1"/>
    <tableColumn name="K" id="2"/>
    <tableColumn name="A" id="3"/>
    <tableColumn name="D" id="4"/>
    <tableColumn name="ADR" id="5"/>
    <tableColumn name="DMG" id="6"/>
    <tableColumn name="Rounds" id="7"/>
    <tableColumn name="Rounds Won" id="8"/>
    <tableColumn name="Column 9" id="9"/>
  </tableColumns>
  <tableStyleInfo name="S3 Regular Season-style 55" showColumnStripes="0" showFirstColumn="1" showLastColumn="1" showRowStripes="1"/>
</table>
</file>

<file path=xl/tables/table65.xml><?xml version="1.0" encoding="utf-8"?>
<table xmlns="http://schemas.openxmlformats.org/spreadsheetml/2006/main" ref="U129:Y130" displayName="Table46" name="Table46" id="65">
  <tableColumns count="5">
    <tableColumn name="Shirts Ban" id="1"/>
    <tableColumn name="Skins Ban 1" id="2"/>
    <tableColumn name="Skins Ban 2" id="3"/>
    <tableColumn name="Shirts Pick" id="4"/>
    <tableColumn name="Skins Side" id="5"/>
  </tableColumns>
  <tableStyleInfo name="S3 Regular Season-style 56" showColumnStripes="0" showFirstColumn="1" showLastColumn="1" showRowStripes="1"/>
</table>
</file>

<file path=xl/tables/table66.xml><?xml version="1.0" encoding="utf-8"?>
<table xmlns="http://schemas.openxmlformats.org/spreadsheetml/2006/main" ref="A136:I138" displayName="Table61" name="Table61" id="66">
  <tableColumns count="9">
    <tableColumn name="Shirts" id="1"/>
    <tableColumn name="K" id="2"/>
    <tableColumn name="A" id="3"/>
    <tableColumn name="D" id="4"/>
    <tableColumn name="ADR" id="5"/>
    <tableColumn name="DMG" id="6"/>
    <tableColumn name="Rounds" id="7"/>
    <tableColumn name="Rounds Won" id="8"/>
    <tableColumn name="Win" id="9"/>
  </tableColumns>
  <tableStyleInfo name="S3 Regular Season-style 57" showColumnStripes="0" showFirstColumn="1" showLastColumn="1" showRowStripes="1"/>
</table>
</file>

<file path=xl/tables/table67.xml><?xml version="1.0" encoding="utf-8"?>
<table xmlns="http://schemas.openxmlformats.org/spreadsheetml/2006/main" ref="K136:S138" displayName="Table57" name="Table57" id="67">
  <tableColumns count="9">
    <tableColumn name="Skins" id="1"/>
    <tableColumn name="K" id="2"/>
    <tableColumn name="A" id="3"/>
    <tableColumn name="D" id="4"/>
    <tableColumn name="ADR" id="5"/>
    <tableColumn name="DMG" id="6"/>
    <tableColumn name="Rounds" id="7"/>
    <tableColumn name="Rounds Won" id="8"/>
    <tableColumn name="Win" id="9"/>
  </tableColumns>
  <tableStyleInfo name="S3 Regular Season-style 58" showColumnStripes="0" showFirstColumn="1" showLastColumn="1" showRowStripes="1"/>
</table>
</file>

<file path=xl/tables/table68.xml><?xml version="1.0" encoding="utf-8"?>
<table xmlns="http://schemas.openxmlformats.org/spreadsheetml/2006/main" ref="U136:Y137" displayName="Table58" name="Table58" id="68">
  <tableColumns count="5">
    <tableColumn name="Shirts Ban" id="1"/>
    <tableColumn name="Skins Ban 1" id="2"/>
    <tableColumn name="Skins Ban 2" id="3"/>
    <tableColumn name="Shirts Pick" id="4"/>
    <tableColumn name="Skins Side" id="5"/>
  </tableColumns>
  <tableStyleInfo name="S3 Regular Season-style 59" showColumnStripes="0" showFirstColumn="1" showLastColumn="1" showRowStripes="1"/>
</table>
</file>

<file path=xl/tables/table69.xml><?xml version="1.0" encoding="utf-8"?>
<table xmlns="http://schemas.openxmlformats.org/spreadsheetml/2006/main" ref="A143:I145" displayName="Table63" name="Table63" id="69">
  <tableColumns count="9">
    <tableColumn name="Shirts" id="1"/>
    <tableColumn name="K" id="2"/>
    <tableColumn name="A" id="3"/>
    <tableColumn name="D" id="4"/>
    <tableColumn name="ADR" id="5"/>
    <tableColumn name="DMG" id="6"/>
    <tableColumn name="Rounds" id="7"/>
    <tableColumn name="Rounds Won" id="8"/>
    <tableColumn name="Column 9" id="9"/>
  </tableColumns>
  <tableStyleInfo name="S3 Regular Season-style 60" showColumnStripes="0" showFirstColumn="1" showLastColumn="1" showRowStripes="1"/>
</table>
</file>

<file path=xl/tables/table70.xml><?xml version="1.0" encoding="utf-8"?>
<table xmlns="http://schemas.openxmlformats.org/spreadsheetml/2006/main" ref="K143:S145" displayName="Table62" name="Table62" id="70">
  <tableColumns count="9">
    <tableColumn name="Skins" id="1"/>
    <tableColumn name="K" id="2"/>
    <tableColumn name="A" id="3"/>
    <tableColumn name="D" id="4"/>
    <tableColumn name="ADR" id="5"/>
    <tableColumn name="DMG" id="6"/>
    <tableColumn name="Rounds" id="7"/>
    <tableColumn name="Rounds Won" id="8"/>
    <tableColumn name="Column 9" id="9"/>
  </tableColumns>
  <tableStyleInfo name="S3 Regular Season-style 61" showColumnStripes="0" showFirstColumn="1" showLastColumn="1" showRowStripes="1"/>
</table>
</file>

<file path=xl/tables/table71.xml><?xml version="1.0" encoding="utf-8"?>
<table xmlns="http://schemas.openxmlformats.org/spreadsheetml/2006/main" ref="U143:Y144" displayName="Table56" name="Table56" id="71">
  <tableColumns count="5">
    <tableColumn name="Shirts Ban" id="1"/>
    <tableColumn name="Skins Ban 1" id="2"/>
    <tableColumn name="Skins Ban 2" id="3"/>
    <tableColumn name="Shirts Pick" id="4"/>
    <tableColumn name="Skins Side" id="5"/>
  </tableColumns>
  <tableStyleInfo name="S3 Regular Season-style 62" showColumnStripes="0" showFirstColumn="1" showLastColumn="1" showRowStripes="1"/>
</table>
</file>

<file path=xl/tables/table72.xml><?xml version="1.0" encoding="utf-8"?>
<table xmlns="http://schemas.openxmlformats.org/spreadsheetml/2006/main" ref="A151:I153" displayName="Table59" name="Table59" id="72">
  <tableColumns count="9">
    <tableColumn name="Shirts" id="1"/>
    <tableColumn name="K" id="2"/>
    <tableColumn name="A" id="3"/>
    <tableColumn name="D" id="4"/>
    <tableColumn name="ADR" id="5"/>
    <tableColumn name="DMG" id="6"/>
    <tableColumn name="Rounds" id="7"/>
    <tableColumn name="Rounds Won" id="8"/>
    <tableColumn name="Column 9" id="9"/>
  </tableColumns>
  <tableStyleInfo name="S3 Regular Season-style 63" showColumnStripes="0" showFirstColumn="1" showLastColumn="1" showRowStripes="1"/>
</table>
</file>

<file path=xl/tables/table73.xml><?xml version="1.0" encoding="utf-8"?>
<table xmlns="http://schemas.openxmlformats.org/spreadsheetml/2006/main" ref="K151:S153" displayName="Table60" name="Table60" id="73">
  <tableColumns count="9">
    <tableColumn name="Skins" id="1"/>
    <tableColumn name="K" id="2"/>
    <tableColumn name="A" id="3"/>
    <tableColumn name="D" id="4"/>
    <tableColumn name="ADR" id="5"/>
    <tableColumn name="DMG" id="6"/>
    <tableColumn name="Rounds" id="7"/>
    <tableColumn name="Rounds Won" id="8"/>
    <tableColumn name="Column 9" id="9"/>
  </tableColumns>
  <tableStyleInfo name="S3 Regular Season-style 64" showColumnStripes="0" showFirstColumn="1" showLastColumn="1" showRowStripes="1"/>
</table>
</file>

<file path=xl/tables/table74.xml><?xml version="1.0" encoding="utf-8"?>
<table xmlns="http://schemas.openxmlformats.org/spreadsheetml/2006/main" ref="U151:Y152" displayName="Table55" name="Table55" id="74">
  <tableColumns count="5">
    <tableColumn name="Shirts Ban" id="1"/>
    <tableColumn name="Skins Ban 1" id="2"/>
    <tableColumn name="Skins Ban 2" id="3"/>
    <tableColumn name="Shirts Pick" id="4"/>
    <tableColumn name="Skins Side" id="5"/>
  </tableColumns>
  <tableStyleInfo name="S3 Regular Season-style 65" showColumnStripes="0" showFirstColumn="1" showLastColumn="1" showRowStripes="1"/>
</table>
</file>

<file path=xl/tables/table75.xml><?xml version="1.0" encoding="utf-8"?>
<table xmlns="http://schemas.openxmlformats.org/spreadsheetml/2006/main" ref="A158:I160" displayName="Table70" name="Table70" id="75">
  <tableColumns count="9">
    <tableColumn name="Shirts" id="1"/>
    <tableColumn name="K" id="2"/>
    <tableColumn name="A" id="3"/>
    <tableColumn name="D" id="4"/>
    <tableColumn name="ADR" id="5"/>
    <tableColumn name="DMG" id="6"/>
    <tableColumn name="Rounds" id="7"/>
    <tableColumn name="Rounds Won" id="8"/>
    <tableColumn name="Win" id="9"/>
  </tableColumns>
  <tableStyleInfo name="S3 Regular Season-style 66" showColumnStripes="0" showFirstColumn="1" showLastColumn="1" showRowStripes="1"/>
</table>
</file>

<file path=xl/tables/table76.xml><?xml version="1.0" encoding="utf-8"?>
<table xmlns="http://schemas.openxmlformats.org/spreadsheetml/2006/main" ref="K158:S160" displayName="Table67" name="Table67" id="76">
  <tableColumns count="9">
    <tableColumn name="Skins" id="1"/>
    <tableColumn name="K" id="2"/>
    <tableColumn name="A" id="3"/>
    <tableColumn name="D" id="4"/>
    <tableColumn name="ADR" id="5"/>
    <tableColumn name="DMG" id="6"/>
    <tableColumn name="Rounds" id="7"/>
    <tableColumn name="Rounds Won" id="8"/>
    <tableColumn name="Win" id="9"/>
  </tableColumns>
  <tableStyleInfo name="S3 Regular Season-style 67" showColumnStripes="0" showFirstColumn="1" showLastColumn="1" showRowStripes="1"/>
</table>
</file>

<file path=xl/tables/table77.xml><?xml version="1.0" encoding="utf-8"?>
<table xmlns="http://schemas.openxmlformats.org/spreadsheetml/2006/main" ref="U158:Y159" displayName="Table66" name="Table66" id="77">
  <tableColumns count="5">
    <tableColumn name="Shirts Ban" id="1"/>
    <tableColumn name="Skins Ban 1" id="2"/>
    <tableColumn name="Skins Ban 2" id="3"/>
    <tableColumn name="Shirts Pick" id="4"/>
    <tableColumn name="Skins Side" id="5"/>
  </tableColumns>
  <tableStyleInfo name="S3 Regular Season-style 68" showColumnStripes="0" showFirstColumn="1" showLastColumn="1" showRowStripes="1"/>
</table>
</file>

<file path=xl/tables/table78.xml><?xml version="1.0" encoding="utf-8"?>
<table xmlns="http://schemas.openxmlformats.org/spreadsheetml/2006/main" ref="A165:I167" displayName="Table72" name="Table72" id="78">
  <tableColumns count="9">
    <tableColumn name="Shirts" id="1"/>
    <tableColumn name="K" id="2"/>
    <tableColumn name="A" id="3"/>
    <tableColumn name="D" id="4"/>
    <tableColumn name="ADR" id="5"/>
    <tableColumn name="DMG" id="6"/>
    <tableColumn name="Rounds" id="7"/>
    <tableColumn name="Rounds Won" id="8"/>
    <tableColumn name="Column 9" id="9"/>
  </tableColumns>
  <tableStyleInfo name="S3 Regular Season-style 69" showColumnStripes="0" showFirstColumn="1" showLastColumn="1" showRowStripes="1"/>
</table>
</file>

<file path=xl/tables/table79.xml><?xml version="1.0" encoding="utf-8"?>
<table xmlns="http://schemas.openxmlformats.org/spreadsheetml/2006/main" ref="K165:S167" displayName="Table71" name="Table71" id="79">
  <tableColumns count="9">
    <tableColumn name="Skins" id="1"/>
    <tableColumn name="K" id="2"/>
    <tableColumn name="A" id="3"/>
    <tableColumn name="D" id="4"/>
    <tableColumn name="ADR" id="5"/>
    <tableColumn name="DMG" id="6"/>
    <tableColumn name="Rounds" id="7"/>
    <tableColumn name="Rounds Won" id="8"/>
    <tableColumn name="Column 9" id="9"/>
  </tableColumns>
  <tableStyleInfo name="S3 Regular Season-style 70" showColumnStripes="0" showFirstColumn="1" showLastColumn="1" showRowStripes="1"/>
</table>
</file>

<file path=xl/tables/table80.xml><?xml version="1.0" encoding="utf-8"?>
<table xmlns="http://schemas.openxmlformats.org/spreadsheetml/2006/main" ref="U165:Y166" displayName="Table65" name="Table65" id="80">
  <tableColumns count="5">
    <tableColumn name="Shirts Ban" id="1"/>
    <tableColumn name="Skins Ban 1" id="2"/>
    <tableColumn name="Skins Ban 2" id="3"/>
    <tableColumn name="Shirts Pick" id="4"/>
    <tableColumn name="Skins Side" id="5"/>
  </tableColumns>
  <tableStyleInfo name="S3 Regular Season-style 71" showColumnStripes="0" showFirstColumn="1" showLastColumn="1" showRowStripes="1"/>
</table>
</file>

<file path=xl/tables/table81.xml><?xml version="1.0" encoding="utf-8"?>
<table xmlns="http://schemas.openxmlformats.org/spreadsheetml/2006/main" ref="A173:I175" displayName="Table68" name="Table68" id="81">
  <tableColumns count="9">
    <tableColumn name="Shirts" id="1"/>
    <tableColumn name="K" id="2"/>
    <tableColumn name="A" id="3"/>
    <tableColumn name="D" id="4"/>
    <tableColumn name="ADR" id="5"/>
    <tableColumn name="DMG" id="6"/>
    <tableColumn name="Rounds" id="7"/>
    <tableColumn name="Rounds Won" id="8"/>
    <tableColumn name="Column 9" id="9"/>
  </tableColumns>
  <tableStyleInfo name="S3 Regular Season-style 72" showColumnStripes="0" showFirstColumn="1" showLastColumn="1" showRowStripes="1"/>
</table>
</file>

<file path=xl/tables/table82.xml><?xml version="1.0" encoding="utf-8"?>
<table xmlns="http://schemas.openxmlformats.org/spreadsheetml/2006/main" ref="K173:S175" displayName="Table69" name="Table69" id="82">
  <tableColumns count="9">
    <tableColumn name="Skins" id="1"/>
    <tableColumn name="K" id="2"/>
    <tableColumn name="A" id="3"/>
    <tableColumn name="D" id="4"/>
    <tableColumn name="ADR" id="5"/>
    <tableColumn name="DMG" id="6"/>
    <tableColumn name="Rounds" id="7"/>
    <tableColumn name="Rounds Won" id="8"/>
    <tableColumn name="Column 9" id="9"/>
  </tableColumns>
  <tableStyleInfo name="S3 Regular Season-style 73" showColumnStripes="0" showFirstColumn="1" showLastColumn="1" showRowStripes="1"/>
</table>
</file>

<file path=xl/tables/table83.xml><?xml version="1.0" encoding="utf-8"?>
<table xmlns="http://schemas.openxmlformats.org/spreadsheetml/2006/main" ref="U173:Y174" displayName="Table64" name="Table64" id="83">
  <tableColumns count="5">
    <tableColumn name="Shirts Ban" id="1"/>
    <tableColumn name="Skins Ban 1" id="2"/>
    <tableColumn name="Skins Ban 2" id="3"/>
    <tableColumn name="Shirts Pick" id="4"/>
    <tableColumn name="Skins Side" id="5"/>
  </tableColumns>
  <tableStyleInfo name="S3 Regular Season-style 74" showColumnStripes="0" showFirstColumn="1" showLastColumn="1" showRowStripes="1"/>
</table>
</file>

<file path=xl/tables/table84.xml><?xml version="1.0" encoding="utf-8"?>
<table xmlns="http://schemas.openxmlformats.org/spreadsheetml/2006/main" ref="A180:I182" displayName="Table78" name="Table78" id="84">
  <tableColumns count="9">
    <tableColumn name="Shirts" id="1"/>
    <tableColumn name="K" id="2"/>
    <tableColumn name="A" id="3"/>
    <tableColumn name="D" id="4"/>
    <tableColumn name="ADR" id="5"/>
    <tableColumn name="DMG" id="6"/>
    <tableColumn name="Rounds" id="7"/>
    <tableColumn name="Rounds Won" id="8"/>
    <tableColumn name="Win" id="9"/>
  </tableColumns>
  <tableStyleInfo name="S3 Regular Season-style 75" showColumnStripes="0" showFirstColumn="1" showLastColumn="1" showRowStripes="1"/>
</table>
</file>

<file path=xl/tables/table85.xml><?xml version="1.0" encoding="utf-8"?>
<table xmlns="http://schemas.openxmlformats.org/spreadsheetml/2006/main" ref="K180:S182" displayName="Table81" name="Table81" id="85">
  <tableColumns count="9">
    <tableColumn name="Skins" id="1"/>
    <tableColumn name="K" id="2"/>
    <tableColumn name="A" id="3"/>
    <tableColumn name="D" id="4"/>
    <tableColumn name="ADR" id="5"/>
    <tableColumn name="DMG" id="6"/>
    <tableColumn name="Rounds" id="7"/>
    <tableColumn name="Rounds Won" id="8"/>
    <tableColumn name="Win" id="9"/>
  </tableColumns>
  <tableStyleInfo name="S3 Regular Season-style 76" showColumnStripes="0" showFirstColumn="1" showLastColumn="1" showRowStripes="1"/>
</table>
</file>

<file path=xl/tables/table86.xml><?xml version="1.0" encoding="utf-8"?>
<table xmlns="http://schemas.openxmlformats.org/spreadsheetml/2006/main" ref="U180:Y181" displayName="Table75" name="Table75" id="86">
  <tableColumns count="5">
    <tableColumn name="Shirts Ban" id="1"/>
    <tableColumn name="Skins Ban 1" id="2"/>
    <tableColumn name="Skins Ban 2" id="3"/>
    <tableColumn name="Shirts Pick" id="4"/>
    <tableColumn name="Skins Side" id="5"/>
  </tableColumns>
  <tableStyleInfo name="S3 Regular Season-style 77" showColumnStripes="0" showFirstColumn="1" showLastColumn="1" showRowStripes="1"/>
</table>
</file>

<file path=xl/tables/table87.xml><?xml version="1.0" encoding="utf-8"?>
<table xmlns="http://schemas.openxmlformats.org/spreadsheetml/2006/main" ref="A187:I189" displayName="Table80" name="Table80" id="87">
  <tableColumns count="9">
    <tableColumn name="Shirts" id="1"/>
    <tableColumn name="K" id="2"/>
    <tableColumn name="A" id="3"/>
    <tableColumn name="D" id="4"/>
    <tableColumn name="ADR" id="5"/>
    <tableColumn name="DMG" id="6"/>
    <tableColumn name="Rounds" id="7"/>
    <tableColumn name="Rounds Won" id="8"/>
    <tableColumn name="Column 9" id="9"/>
  </tableColumns>
  <tableStyleInfo name="S3 Regular Season-style 78" showColumnStripes="0" showFirstColumn="1" showLastColumn="1" showRowStripes="1"/>
</table>
</file>

<file path=xl/tables/table88.xml><?xml version="1.0" encoding="utf-8"?>
<table xmlns="http://schemas.openxmlformats.org/spreadsheetml/2006/main" ref="K187:S189" displayName="Table79" name="Table79" id="88">
  <tableColumns count="9">
    <tableColumn name="Skins" id="1"/>
    <tableColumn name="K" id="2"/>
    <tableColumn name="A" id="3"/>
    <tableColumn name="D" id="4"/>
    <tableColumn name="ADR" id="5"/>
    <tableColumn name="DMG" id="6"/>
    <tableColumn name="Rounds" id="7"/>
    <tableColumn name="Rounds Won" id="8"/>
    <tableColumn name="Column 9" id="9"/>
  </tableColumns>
  <tableStyleInfo name="S3 Regular Season-style 79" showColumnStripes="0" showFirstColumn="1" showLastColumn="1" showRowStripes="1"/>
</table>
</file>

<file path=xl/tables/table89.xml><?xml version="1.0" encoding="utf-8"?>
<table xmlns="http://schemas.openxmlformats.org/spreadsheetml/2006/main" ref="U187:Y188" displayName="Table74" name="Table74" id="89">
  <tableColumns count="5">
    <tableColumn name="Shirts Ban" id="1"/>
    <tableColumn name="Skins Ban 1" id="2"/>
    <tableColumn name="Skins Ban 2" id="3"/>
    <tableColumn name="Shirts Pick" id="4"/>
    <tableColumn name="Skins Side" id="5"/>
  </tableColumns>
  <tableStyleInfo name="S3 Regular Season-style 80" showColumnStripes="0" showFirstColumn="1" showLastColumn="1" showRowStripes="1"/>
</table>
</file>

<file path=xl/tables/table90.xml><?xml version="1.0" encoding="utf-8"?>
<table xmlns="http://schemas.openxmlformats.org/spreadsheetml/2006/main" ref="A195:I197" displayName="Table76" name="Table76" id="90">
  <tableColumns count="9">
    <tableColumn name="Shirts" id="1"/>
    <tableColumn name="K" id="2"/>
    <tableColumn name="A" id="3"/>
    <tableColumn name="D" id="4"/>
    <tableColumn name="ADR" id="5"/>
    <tableColumn name="DMG" id="6"/>
    <tableColumn name="Rounds" id="7"/>
    <tableColumn name="Rounds Won" id="8"/>
    <tableColumn name="Column 9" id="9"/>
  </tableColumns>
  <tableStyleInfo name="S3 Regular Season-style 81" showColumnStripes="0" showFirstColumn="1" showLastColumn="1" showRowStripes="1"/>
</table>
</file>

<file path=xl/tables/table91.xml><?xml version="1.0" encoding="utf-8"?>
<table xmlns="http://schemas.openxmlformats.org/spreadsheetml/2006/main" ref="K195:S197" displayName="Table77" name="Table77" id="91">
  <tableColumns count="9">
    <tableColumn name="Skins" id="1"/>
    <tableColumn name="K" id="2"/>
    <tableColumn name="A" id="3"/>
    <tableColumn name="D" id="4"/>
    <tableColumn name="ADR" id="5"/>
    <tableColumn name="DMG" id="6"/>
    <tableColumn name="Rounds" id="7"/>
    <tableColumn name="Rounds Won" id="8"/>
    <tableColumn name="Column 9" id="9"/>
  </tableColumns>
  <tableStyleInfo name="S3 Regular Season-style 82" showColumnStripes="0" showFirstColumn="1" showLastColumn="1" showRowStripes="1"/>
</table>
</file>

<file path=xl/tables/table92.xml><?xml version="1.0" encoding="utf-8"?>
<table xmlns="http://schemas.openxmlformats.org/spreadsheetml/2006/main" ref="U195:Y196" displayName="Table73" name="Table73" id="92">
  <tableColumns count="5">
    <tableColumn name="Shirts Ban" id="1"/>
    <tableColumn name="Skins Ban 1" id="2"/>
    <tableColumn name="Skins Ban 2" id="3"/>
    <tableColumn name="Shirts Pick" id="4"/>
    <tableColumn name="Skins Side" id="5"/>
  </tableColumns>
  <tableStyleInfo name="S3 Regular Season-style 83" showColumnStripes="0" showFirstColumn="1" showLastColumn="1" showRowStripes="1"/>
</table>
</file>

<file path=xl/tables/table93.xml><?xml version="1.0" encoding="utf-8"?>
<table xmlns="http://schemas.openxmlformats.org/spreadsheetml/2006/main" ref="A202:I204" displayName="Table90" name="Table90" id="93">
  <tableColumns count="9">
    <tableColumn name="Shirts" id="1"/>
    <tableColumn name="K" id="2"/>
    <tableColumn name="A" id="3"/>
    <tableColumn name="D" id="4"/>
    <tableColumn name="ADR" id="5"/>
    <tableColumn name="DMG" id="6"/>
    <tableColumn name="Rounds" id="7"/>
    <tableColumn name="Rounds Won" id="8"/>
    <tableColumn name="Win" id="9"/>
  </tableColumns>
  <tableStyleInfo name="S3 Regular Season-style 84" showColumnStripes="0" showFirstColumn="1" showLastColumn="1" showRowStripes="1"/>
</table>
</file>

<file path=xl/tables/table94.xml><?xml version="1.0" encoding="utf-8"?>
<table xmlns="http://schemas.openxmlformats.org/spreadsheetml/2006/main" ref="K202:S204" displayName="Table86" name="Table86" id="94">
  <tableColumns count="9">
    <tableColumn name="Skins" id="1"/>
    <tableColumn name="K" id="2"/>
    <tableColumn name="A" id="3"/>
    <tableColumn name="D" id="4"/>
    <tableColumn name="ADR" id="5"/>
    <tableColumn name="DMG" id="6"/>
    <tableColumn name="Rounds" id="7"/>
    <tableColumn name="Rounds Won" id="8"/>
    <tableColumn name="Win" id="9"/>
  </tableColumns>
  <tableStyleInfo name="S3 Regular Season-style 85" showColumnStripes="0" showFirstColumn="1" showLastColumn="1" showRowStripes="1"/>
</table>
</file>

<file path=xl/tables/table95.xml><?xml version="1.0" encoding="utf-8"?>
<table xmlns="http://schemas.openxmlformats.org/spreadsheetml/2006/main" ref="U202:Y203" displayName="Table89" name="Table89" id="95">
  <tableColumns count="5">
    <tableColumn name="Shirts Ban" id="1"/>
    <tableColumn name="Skins Ban 1" id="2"/>
    <tableColumn name="Skins Ban 2" id="3"/>
    <tableColumn name="Shirts Pick" id="4"/>
    <tableColumn name="Skins Side" id="5"/>
  </tableColumns>
  <tableStyleInfo name="S3 Regular Season-style 86" showColumnStripes="0" showFirstColumn="1" showLastColumn="1" showRowStripes="1"/>
</table>
</file>

<file path=xl/tables/table96.xml><?xml version="1.0" encoding="utf-8"?>
<table xmlns="http://schemas.openxmlformats.org/spreadsheetml/2006/main" ref="A209:I211" displayName="Table83" name="Table83" id="96">
  <tableColumns count="9">
    <tableColumn name="Shirts" id="1"/>
    <tableColumn name="K" id="2"/>
    <tableColumn name="A" id="3"/>
    <tableColumn name="D" id="4"/>
    <tableColumn name="ADR" id="5"/>
    <tableColumn name="DMG" id="6"/>
    <tableColumn name="Rounds" id="7"/>
    <tableColumn name="Rounds Won" id="8"/>
    <tableColumn name="Column 9" id="9"/>
  </tableColumns>
  <tableStyleInfo name="S3 Regular Season-style 87" showColumnStripes="0" showFirstColumn="1" showLastColumn="1" showRowStripes="1"/>
</table>
</file>

<file path=xl/tables/table97.xml><?xml version="1.0" encoding="utf-8"?>
<table xmlns="http://schemas.openxmlformats.org/spreadsheetml/2006/main" ref="K209:S211" displayName="Table82" name="Table82" id="97">
  <tableColumns count="9">
    <tableColumn name="Skins" id="1"/>
    <tableColumn name="K" id="2"/>
    <tableColumn name="A" id="3"/>
    <tableColumn name="D" id="4"/>
    <tableColumn name="ADR" id="5"/>
    <tableColumn name="DMG" id="6"/>
    <tableColumn name="Rounds" id="7"/>
    <tableColumn name="Rounds Won" id="8"/>
    <tableColumn name="Column 9" id="9"/>
  </tableColumns>
  <tableStyleInfo name="S3 Regular Season-style 88" showColumnStripes="0" showFirstColumn="1" showLastColumn="1" showRowStripes="1"/>
</table>
</file>

<file path=xl/tables/table98.xml><?xml version="1.0" encoding="utf-8"?>
<table xmlns="http://schemas.openxmlformats.org/spreadsheetml/2006/main" ref="U209:Y210" displayName="Table88" name="Table88" id="98">
  <tableColumns count="5">
    <tableColumn name="Shirts Ban" id="1"/>
    <tableColumn name="Skins Ban 1" id="2"/>
    <tableColumn name="Skins Ban 2" id="3"/>
    <tableColumn name="Shirts Pick" id="4"/>
    <tableColumn name="Skins Side" id="5"/>
  </tableColumns>
  <tableStyleInfo name="S3 Regular Season-style 89" showColumnStripes="0" showFirstColumn="1" showLastColumn="1" showRowStripes="1"/>
</table>
</file>

<file path=xl/tables/table99.xml><?xml version="1.0" encoding="utf-8"?>
<table xmlns="http://schemas.openxmlformats.org/spreadsheetml/2006/main" ref="A217:I219" displayName="Table84" name="Table84" id="99">
  <tableColumns count="9">
    <tableColumn name="Shirts" id="1"/>
    <tableColumn name="K" id="2"/>
    <tableColumn name="A" id="3"/>
    <tableColumn name="D" id="4"/>
    <tableColumn name="ADR" id="5"/>
    <tableColumn name="DMG" id="6"/>
    <tableColumn name="Rounds" id="7"/>
    <tableColumn name="Rounds Won" id="8"/>
    <tableColumn name="Column 9" id="9"/>
  </tableColumns>
  <tableStyleInfo name="S3 Regular Season-style 90" showColumnStripes="0" showFirstColumn="1" showLastColumn="1" showRowStripes="1"/>
</table>
</file>

<file path=xl/tables/table100.xml><?xml version="1.0" encoding="utf-8"?>
<table xmlns="http://schemas.openxmlformats.org/spreadsheetml/2006/main" ref="K217:S219" displayName="Table85" name="Table85" id="100">
  <tableColumns count="9">
    <tableColumn name="Skins" id="1"/>
    <tableColumn name="K" id="2"/>
    <tableColumn name="A" id="3"/>
    <tableColumn name="D" id="4"/>
    <tableColumn name="ADR" id="5"/>
    <tableColumn name="DMG" id="6"/>
    <tableColumn name="Rounds" id="7"/>
    <tableColumn name="Rounds Won" id="8"/>
    <tableColumn name="Column 9" id="9"/>
  </tableColumns>
  <tableStyleInfo name="S3 Regular Season-style 91" showColumnStripes="0" showFirstColumn="1" showLastColumn="1" showRowStripes="1"/>
</table>
</file>

<file path=xl/tables/table101.xml><?xml version="1.0" encoding="utf-8"?>
<table xmlns="http://schemas.openxmlformats.org/spreadsheetml/2006/main" ref="U217:Y218" displayName="Table87" name="Table87" id="101">
  <tableColumns count="5">
    <tableColumn name="Shirts Ban" id="1"/>
    <tableColumn name="Skins Ban 1" id="2"/>
    <tableColumn name="Skins Ban 2" id="3"/>
    <tableColumn name="Shirts Pick" id="4"/>
    <tableColumn name="Skins Side" id="5"/>
  </tableColumns>
  <tableStyleInfo name="S3 Regular Season-style 92" showColumnStripes="0" showFirstColumn="1" showLastColumn="1" showRowStripes="1"/>
</table>
</file>

<file path=xl/tables/table102.xml><?xml version="1.0" encoding="utf-8"?>
<table xmlns="http://schemas.openxmlformats.org/spreadsheetml/2006/main" ref="A224:I226" displayName="Table99" name="Table99" id="102">
  <tableColumns count="9">
    <tableColumn name="Shirts" id="1"/>
    <tableColumn name="K" id="2"/>
    <tableColumn name="A" id="3"/>
    <tableColumn name="D" id="4"/>
    <tableColumn name="ADR" id="5"/>
    <tableColumn name="DMG" id="6"/>
    <tableColumn name="Rounds" id="7"/>
    <tableColumn name="Rounds Won" id="8"/>
    <tableColumn name="Win" id="9"/>
  </tableColumns>
  <tableStyleInfo name="S3 Regular Season-style 93" showColumnStripes="0" showFirstColumn="1" showLastColumn="1" showRowStripes="1"/>
</table>
</file>

<file path=xl/tables/table103.xml><?xml version="1.0" encoding="utf-8"?>
<table xmlns="http://schemas.openxmlformats.org/spreadsheetml/2006/main" ref="K224:S226" displayName="Table91" name="Table91" id="103">
  <tableColumns count="9">
    <tableColumn name="Skins" id="1"/>
    <tableColumn name="K" id="2"/>
    <tableColumn name="A" id="3"/>
    <tableColumn name="D" id="4"/>
    <tableColumn name="ADR" id="5"/>
    <tableColumn name="DMG" id="6"/>
    <tableColumn name="Rounds" id="7"/>
    <tableColumn name="Rounds Won" id="8"/>
    <tableColumn name="Win" id="9"/>
  </tableColumns>
  <tableStyleInfo name="S3 Regular Season-style 94" showColumnStripes="0" showFirstColumn="1" showLastColumn="1" showRowStripes="1"/>
</table>
</file>

<file path=xl/tables/table104.xml><?xml version="1.0" encoding="utf-8"?>
<table xmlns="http://schemas.openxmlformats.org/spreadsheetml/2006/main" ref="U224:Y225" displayName="Table92" name="Table92" id="104">
  <tableColumns count="5">
    <tableColumn name="Shirts Ban" id="1"/>
    <tableColumn name="Skins Ban 1" id="2"/>
    <tableColumn name="Skins Ban 2" id="3"/>
    <tableColumn name="Shirts Pick" id="4"/>
    <tableColumn name="Skins Side" id="5"/>
  </tableColumns>
  <tableStyleInfo name="S3 Regular Season-style 95" showColumnStripes="0" showFirstColumn="1" showLastColumn="1" showRowStripes="1"/>
</table>
</file>

<file path=xl/tables/table105.xml><?xml version="1.0" encoding="utf-8"?>
<table xmlns="http://schemas.openxmlformats.org/spreadsheetml/2006/main" ref="A231:I233" displayName="Table94" name="Table94" id="105">
  <tableColumns count="9">
    <tableColumn name="Shirts" id="1"/>
    <tableColumn name="K" id="2"/>
    <tableColumn name="A" id="3"/>
    <tableColumn name="D" id="4"/>
    <tableColumn name="ADR" id="5"/>
    <tableColumn name="DMG" id="6"/>
    <tableColumn name="Rounds" id="7"/>
    <tableColumn name="Rounds Won" id="8"/>
    <tableColumn name="Column 9" id="9"/>
  </tableColumns>
  <tableStyleInfo name="S3 Regular Season-style 96" showColumnStripes="0" showFirstColumn="1" showLastColumn="1" showRowStripes="1"/>
</table>
</file>

<file path=xl/tables/table106.xml><?xml version="1.0" encoding="utf-8"?>
<table xmlns="http://schemas.openxmlformats.org/spreadsheetml/2006/main" ref="K231:S233" displayName="Table93" name="Table93" id="106">
  <tableColumns count="9">
    <tableColumn name="Skins" id="1"/>
    <tableColumn name="K" id="2"/>
    <tableColumn name="A" id="3"/>
    <tableColumn name="D" id="4"/>
    <tableColumn name="ADR" id="5"/>
    <tableColumn name="DMG" id="6"/>
    <tableColumn name="Rounds" id="7"/>
    <tableColumn name="Rounds Won" id="8"/>
    <tableColumn name="Column 9" id="9"/>
  </tableColumns>
  <tableStyleInfo name="S3 Regular Season-style 97" showColumnStripes="0" showFirstColumn="1" showLastColumn="1" showRowStripes="1"/>
</table>
</file>

<file path=xl/tables/table107.xml><?xml version="1.0" encoding="utf-8"?>
<table xmlns="http://schemas.openxmlformats.org/spreadsheetml/2006/main" ref="U231:Y232" displayName="Table98" name="Table98" id="107">
  <tableColumns count="5">
    <tableColumn name="Shirts Ban" id="1"/>
    <tableColumn name="Skins Ban 1" id="2"/>
    <tableColumn name="Skins Ban 2" id="3"/>
    <tableColumn name="Shirts Pick" id="4"/>
    <tableColumn name="Skins Side" id="5"/>
  </tableColumns>
  <tableStyleInfo name="S3 Regular Season-style 98" showColumnStripes="0" showFirstColumn="1" showLastColumn="1" showRowStripes="1"/>
</table>
</file>

<file path=xl/tables/table108.xml><?xml version="1.0" encoding="utf-8"?>
<table xmlns="http://schemas.openxmlformats.org/spreadsheetml/2006/main" ref="A239:I241" displayName="Table95" name="Table95" id="108">
  <tableColumns count="9">
    <tableColumn name="Shirts" id="1"/>
    <tableColumn name="K" id="2"/>
    <tableColumn name="A" id="3"/>
    <tableColumn name="D" id="4"/>
    <tableColumn name="ADR" id="5"/>
    <tableColumn name="DMG" id="6"/>
    <tableColumn name="Rounds" id="7"/>
    <tableColumn name="Rounds Won" id="8"/>
    <tableColumn name="Column 9" id="9"/>
  </tableColumns>
  <tableStyleInfo name="S3 Regular Season-style 99" showColumnStripes="0" showFirstColumn="1" showLastColumn="1" showRowStripes="1"/>
</table>
</file>

<file path=xl/tables/table109.xml><?xml version="1.0" encoding="utf-8"?>
<table xmlns="http://schemas.openxmlformats.org/spreadsheetml/2006/main" ref="K239:S241" displayName="Table96" name="Table96" id="109">
  <tableColumns count="9">
    <tableColumn name="Skins" id="1"/>
    <tableColumn name="K" id="2"/>
    <tableColumn name="A" id="3"/>
    <tableColumn name="D" id="4"/>
    <tableColumn name="ADR" id="5"/>
    <tableColumn name="DMG" id="6"/>
    <tableColumn name="Rounds" id="7"/>
    <tableColumn name="Rounds Won" id="8"/>
    <tableColumn name="Column 9" id="9"/>
  </tableColumns>
  <tableStyleInfo name="S3 Regular Season-style 100" showColumnStripes="0" showFirstColumn="1" showLastColumn="1" showRowStripes="1"/>
</table>
</file>

<file path=xl/tables/table110.xml><?xml version="1.0" encoding="utf-8"?>
<table xmlns="http://schemas.openxmlformats.org/spreadsheetml/2006/main" ref="U239:Y240" displayName="Table97" name="Table97" id="110">
  <tableColumns count="5">
    <tableColumn name="Shirts Ban" id="1"/>
    <tableColumn name="Skins Ban 1" id="2"/>
    <tableColumn name="Skins Ban 2" id="3"/>
    <tableColumn name="Shirts Pick" id="4"/>
    <tableColumn name="Skins Side" id="5"/>
  </tableColumns>
  <tableStyleInfo name="S3 Regular Season-style 101" showColumnStripes="0" showFirstColumn="1" showLastColumn="1" showRowStripes="1"/>
</table>
</file>

<file path=xl/tables/table111.xml><?xml version="1.0" encoding="utf-8"?>
<table xmlns="http://schemas.openxmlformats.org/spreadsheetml/2006/main" ref="A246:I248" displayName="Table108" name="Table108" id="111">
  <tableColumns count="9">
    <tableColumn name="Shirts" id="1"/>
    <tableColumn name="K" id="2"/>
    <tableColumn name="A" id="3"/>
    <tableColumn name="D" id="4"/>
    <tableColumn name="ADR" id="5"/>
    <tableColumn name="DMG" id="6"/>
    <tableColumn name="Rounds" id="7"/>
    <tableColumn name="Rounds Won" id="8"/>
    <tableColumn name="Win" id="9"/>
  </tableColumns>
  <tableStyleInfo name="S3 Regular Season-style 102" showColumnStripes="0" showFirstColumn="1" showLastColumn="1" showRowStripes="1"/>
</table>
</file>

<file path=xl/tables/table112.xml><?xml version="1.0" encoding="utf-8"?>
<table xmlns="http://schemas.openxmlformats.org/spreadsheetml/2006/main" ref="K246:S248" displayName="Table103" name="Table103" id="112">
  <tableColumns count="9">
    <tableColumn name="Skins" id="1"/>
    <tableColumn name="K" id="2"/>
    <tableColumn name="A" id="3"/>
    <tableColumn name="D" id="4"/>
    <tableColumn name="ADR" id="5"/>
    <tableColumn name="DMG" id="6"/>
    <tableColumn name="Rounds" id="7"/>
    <tableColumn name="Rounds Won" id="8"/>
    <tableColumn name="Win" id="9"/>
  </tableColumns>
  <tableStyleInfo name="S3 Regular Season-style 103" showColumnStripes="0" showFirstColumn="1" showLastColumn="1" showRowStripes="1"/>
</table>
</file>

<file path=xl/tables/table113.xml><?xml version="1.0" encoding="utf-8"?>
<table xmlns="http://schemas.openxmlformats.org/spreadsheetml/2006/main" ref="U246:Y247" displayName="Table102" name="Table102" id="113">
  <tableColumns count="5">
    <tableColumn name="Shirts Ban" id="1"/>
    <tableColumn name="Skins Ban 1" id="2"/>
    <tableColumn name="Skins Ban 2" id="3"/>
    <tableColumn name="Shirts Pick" id="4"/>
    <tableColumn name="Skins Side" id="5"/>
  </tableColumns>
  <tableStyleInfo name="S3 Regular Season-style 104" showColumnStripes="0" showFirstColumn="1" showLastColumn="1" showRowStripes="1"/>
</table>
</file>

<file path=xl/tables/table114.xml><?xml version="1.0" encoding="utf-8"?>
<table xmlns="http://schemas.openxmlformats.org/spreadsheetml/2006/main" ref="A253:I255" displayName="Table107" name="Table107" id="114">
  <tableColumns count="9">
    <tableColumn name="Shirts" id="1"/>
    <tableColumn name="K" id="2"/>
    <tableColumn name="A" id="3"/>
    <tableColumn name="D" id="4"/>
    <tableColumn name="ADR" id="5"/>
    <tableColumn name="DMG" id="6"/>
    <tableColumn name="Rounds" id="7"/>
    <tableColumn name="Rounds Won" id="8"/>
    <tableColumn name="Column 9" id="9"/>
  </tableColumns>
  <tableStyleInfo name="S3 Regular Season-style 105" showColumnStripes="0" showFirstColumn="1" showLastColumn="1" showRowStripes="1"/>
</table>
</file>

<file path=xl/tables/table115.xml><?xml version="1.0" encoding="utf-8"?>
<table xmlns="http://schemas.openxmlformats.org/spreadsheetml/2006/main" ref="K253:S255" displayName="Table101" name="Table101" id="115">
  <tableColumns count="9">
    <tableColumn name="Skins" id="1"/>
    <tableColumn name="K" id="2"/>
    <tableColumn name="A" id="3"/>
    <tableColumn name="D" id="4"/>
    <tableColumn name="ADR" id="5"/>
    <tableColumn name="DMG" id="6"/>
    <tableColumn name="Rounds" id="7"/>
    <tableColumn name="Rounds Won" id="8"/>
    <tableColumn name="Column 9" id="9"/>
  </tableColumns>
  <tableStyleInfo name="S3 Regular Season-style 106" showColumnStripes="0" showFirstColumn="1" showLastColumn="1" showRowStripes="1"/>
</table>
</file>

<file path=xl/tables/table116.xml><?xml version="1.0" encoding="utf-8"?>
<table xmlns="http://schemas.openxmlformats.org/spreadsheetml/2006/main" ref="U253:Y254" displayName="Table100" name="Table100" id="116">
  <tableColumns count="5">
    <tableColumn name="Shirts Ban" id="1"/>
    <tableColumn name="Skins Ban 1" id="2"/>
    <tableColumn name="Skins Ban 2" id="3"/>
    <tableColumn name="Shirts Pick" id="4"/>
    <tableColumn name="Skins Side" id="5"/>
  </tableColumns>
  <tableStyleInfo name="S3 Regular Season-style 107" showColumnStripes="0" showFirstColumn="1" showLastColumn="1" showRowStripes="1"/>
</table>
</file>

<file path=xl/tables/table117.xml><?xml version="1.0" encoding="utf-8"?>
<table xmlns="http://schemas.openxmlformats.org/spreadsheetml/2006/main" ref="A261:I263" displayName="Table106" name="Table106" id="117">
  <tableColumns count="9">
    <tableColumn name="Shirts" id="1"/>
    <tableColumn name="K" id="2"/>
    <tableColumn name="A" id="3"/>
    <tableColumn name="D" id="4"/>
    <tableColumn name="ADR" id="5"/>
    <tableColumn name="DMG" id="6"/>
    <tableColumn name="Rounds" id="7"/>
    <tableColumn name="Rounds Won" id="8"/>
    <tableColumn name="Column 9" id="9"/>
  </tableColumns>
  <tableStyleInfo name="S3 Regular Season-style 108" showColumnStripes="0" showFirstColumn="1" showLastColumn="1" showRowStripes="1"/>
</table>
</file>

<file path=xl/tables/table118.xml><?xml version="1.0" encoding="utf-8"?>
<table xmlns="http://schemas.openxmlformats.org/spreadsheetml/2006/main" ref="K261:S263" displayName="Table105" name="Table105" id="118">
  <tableColumns count="9">
    <tableColumn name="Skins" id="1"/>
    <tableColumn name="K" id="2"/>
    <tableColumn name="A" id="3"/>
    <tableColumn name="D" id="4"/>
    <tableColumn name="ADR" id="5"/>
    <tableColumn name="DMG" id="6"/>
    <tableColumn name="Rounds" id="7"/>
    <tableColumn name="Rounds Won" id="8"/>
    <tableColumn name="Column 9" id="9"/>
  </tableColumns>
  <tableStyleInfo name="S3 Regular Season-style 109" showColumnStripes="0" showFirstColumn="1" showLastColumn="1" showRowStripes="1"/>
</table>
</file>

<file path=xl/tables/table119.xml><?xml version="1.0" encoding="utf-8"?>
<table xmlns="http://schemas.openxmlformats.org/spreadsheetml/2006/main" ref="U261:Y262" displayName="Table104" name="Table104" id="119">
  <tableColumns count="5">
    <tableColumn name="Shirts Ban" id="1"/>
    <tableColumn name="Skins Ban 1" id="2"/>
    <tableColumn name="Skins Ban 2" id="3"/>
    <tableColumn name="Shirts Pick" id="4"/>
    <tableColumn name="Skins Side" id="5"/>
  </tableColumns>
  <tableStyleInfo name="S3 Regular Season-style 110" showColumnStripes="0" showFirstColumn="1" showLastColumn="1" showRowStripes="1"/>
</table>
</file>

<file path=xl/tables/table120.xml><?xml version="1.0" encoding="utf-8"?>
<table xmlns="http://schemas.openxmlformats.org/spreadsheetml/2006/main" ref="A268:I270" displayName="Table117" name="Table117" id="120">
  <tableColumns count="9">
    <tableColumn name="Shirts" id="1"/>
    <tableColumn name="K" id="2"/>
    <tableColumn name="A" id="3"/>
    <tableColumn name="D" id="4"/>
    <tableColumn name="ADR" id="5"/>
    <tableColumn name="DMG" id="6"/>
    <tableColumn name="Rounds" id="7"/>
    <tableColumn name="Rounds Won" id="8"/>
    <tableColumn name="Win" id="9"/>
  </tableColumns>
  <tableStyleInfo name="S3 Regular Season-style 111" showColumnStripes="0" showFirstColumn="1" showLastColumn="1" showRowStripes="1"/>
</table>
</file>

<file path=xl/tables/table121.xml><?xml version="1.0" encoding="utf-8"?>
<table xmlns="http://schemas.openxmlformats.org/spreadsheetml/2006/main" ref="K268:S270" displayName="Table112" name="Table112" id="121">
  <tableColumns count="9">
    <tableColumn name="Skins" id="1"/>
    <tableColumn name="K" id="2"/>
    <tableColumn name="A" id="3"/>
    <tableColumn name="D" id="4"/>
    <tableColumn name="ADR" id="5"/>
    <tableColumn name="DMG" id="6"/>
    <tableColumn name="Rounds" id="7"/>
    <tableColumn name="Rounds Won" id="8"/>
    <tableColumn name="Win" id="9"/>
  </tableColumns>
  <tableStyleInfo name="S3 Regular Season-style 112" showColumnStripes="0" showFirstColumn="1" showLastColumn="1" showRowStripes="1"/>
</table>
</file>

<file path=xl/tables/table122.xml><?xml version="1.0" encoding="utf-8"?>
<table xmlns="http://schemas.openxmlformats.org/spreadsheetml/2006/main" ref="U268:Y269" displayName="Table111" name="Table111" id="122">
  <tableColumns count="5">
    <tableColumn name="Shirts Ban" id="1"/>
    <tableColumn name="Skins Ban 1" id="2"/>
    <tableColumn name="Skins Ban 2" id="3"/>
    <tableColumn name="Shirts Pick" id="4"/>
    <tableColumn name="Skins Side" id="5"/>
  </tableColumns>
  <tableStyleInfo name="S3 Regular Season-style 113" showColumnStripes="0" showFirstColumn="1" showLastColumn="1" showRowStripes="1"/>
</table>
</file>

<file path=xl/tables/table123.xml><?xml version="1.0" encoding="utf-8"?>
<table xmlns="http://schemas.openxmlformats.org/spreadsheetml/2006/main" ref="A275:I277" displayName="Table116" name="Table116" id="123">
  <tableColumns count="9">
    <tableColumn name="Shirts" id="1"/>
    <tableColumn name="K" id="2"/>
    <tableColumn name="A" id="3"/>
    <tableColumn name="D" id="4"/>
    <tableColumn name="ADR" id="5"/>
    <tableColumn name="DMG" id="6"/>
    <tableColumn name="Rounds" id="7"/>
    <tableColumn name="Rounds Won" id="8"/>
    <tableColumn name="Column 9" id="9"/>
  </tableColumns>
  <tableStyleInfo name="S3 Regular Season-style 114" showColumnStripes="0" showFirstColumn="1" showLastColumn="1" showRowStripes="1"/>
</table>
</file>

<file path=xl/tables/table124.xml><?xml version="1.0" encoding="utf-8"?>
<table xmlns="http://schemas.openxmlformats.org/spreadsheetml/2006/main" ref="K275:S277" displayName="Table110" name="Table110" id="124">
  <tableColumns count="9">
    <tableColumn name="Skins" id="1"/>
    <tableColumn name="K" id="2"/>
    <tableColumn name="A" id="3"/>
    <tableColumn name="D" id="4"/>
    <tableColumn name="ADR" id="5"/>
    <tableColumn name="DMG" id="6"/>
    <tableColumn name="Rounds" id="7"/>
    <tableColumn name="Rounds Won" id="8"/>
    <tableColumn name="Column 9" id="9"/>
  </tableColumns>
  <tableStyleInfo name="S3 Regular Season-style 115" showColumnStripes="0" showFirstColumn="1" showLastColumn="1" showRowStripes="1"/>
</table>
</file>

<file path=xl/tables/table125.xml><?xml version="1.0" encoding="utf-8"?>
<table xmlns="http://schemas.openxmlformats.org/spreadsheetml/2006/main" ref="U275:Y276" displayName="Table109" name="Table109" id="125">
  <tableColumns count="5">
    <tableColumn name="Shirts Ban" id="1"/>
    <tableColumn name="Skins Ban 1" id="2"/>
    <tableColumn name="Skins Ban 2" id="3"/>
    <tableColumn name="Shirts Pick" id="4"/>
    <tableColumn name="Skins Side" id="5"/>
  </tableColumns>
  <tableStyleInfo name="S3 Regular Season-style 116" showColumnStripes="0" showFirstColumn="1" showLastColumn="1" showRowStripes="1"/>
</table>
</file>

<file path=xl/tables/table126.xml><?xml version="1.0" encoding="utf-8"?>
<table xmlns="http://schemas.openxmlformats.org/spreadsheetml/2006/main" ref="A283:I285" displayName="Table115" name="Table115" id="126">
  <tableColumns count="9">
    <tableColumn name="Shirts" id="1"/>
    <tableColumn name="K" id="2"/>
    <tableColumn name="A" id="3"/>
    <tableColumn name="D" id="4"/>
    <tableColumn name="ADR" id="5"/>
    <tableColumn name="DMG" id="6"/>
    <tableColumn name="Rounds" id="7"/>
    <tableColumn name="Rounds Won" id="8"/>
    <tableColumn name="Column 9" id="9"/>
  </tableColumns>
  <tableStyleInfo name="S3 Regular Season-style 117" showColumnStripes="0" showFirstColumn="1" showLastColumn="1" showRowStripes="1"/>
</table>
</file>

<file path=xl/tables/table127.xml><?xml version="1.0" encoding="utf-8"?>
<table xmlns="http://schemas.openxmlformats.org/spreadsheetml/2006/main" ref="K283:S285" displayName="Table114" name="Table114" id="127">
  <tableColumns count="9">
    <tableColumn name="Skins" id="1"/>
    <tableColumn name="K" id="2"/>
    <tableColumn name="A" id="3"/>
    <tableColumn name="D" id="4"/>
    <tableColumn name="ADR" id="5"/>
    <tableColumn name="DMG" id="6"/>
    <tableColumn name="Rounds" id="7"/>
    <tableColumn name="Rounds Won" id="8"/>
    <tableColumn name="Column 9" id="9"/>
  </tableColumns>
  <tableStyleInfo name="S3 Regular Season-style 118" showColumnStripes="0" showFirstColumn="1" showLastColumn="1" showRowStripes="1"/>
</table>
</file>

<file path=xl/tables/table128.xml><?xml version="1.0" encoding="utf-8"?>
<table xmlns="http://schemas.openxmlformats.org/spreadsheetml/2006/main" ref="U283:Y284" displayName="Table113" name="Table113" id="128">
  <tableColumns count="5">
    <tableColumn name="Shirts Ban" id="1"/>
    <tableColumn name="Skins Ban 1" id="2"/>
    <tableColumn name="Skins Ban 2" id="3"/>
    <tableColumn name="Shirts Pick" id="4"/>
    <tableColumn name="Skins Side" id="5"/>
  </tableColumns>
  <tableStyleInfo name="S3 Regular Season-style 119" showColumnStripes="0" showFirstColumn="1" showLastColumn="1" showRowStripes="1"/>
</table>
</file>

<file path=xl/tables/table129.xml><?xml version="1.0" encoding="utf-8"?>
<table xmlns="http://schemas.openxmlformats.org/spreadsheetml/2006/main" headerRowCount="0" ref="X6:Z20" displayName="Table_4" name="Table_4" id="129">
  <tableColumns count="3">
    <tableColumn name="Column1" id="1"/>
    <tableColumn name="Column2" id="2"/>
    <tableColumn name="Column3" id="3"/>
  </tableColumns>
  <tableStyleInfo name="Matchup Metrics - Reg Season Cr-style" showColumnStripes="0" showFirstColumn="1" showLastColumn="1" showRowStripes="1"/>
</table>
</file>

<file path=xl/tables/table130.xml><?xml version="1.0" encoding="utf-8"?>
<table xmlns="http://schemas.openxmlformats.org/spreadsheetml/2006/main" headerRowCount="0" ref="X23:Y35" displayName="Table_5" name="Table_5" id="130">
  <tableColumns count="2">
    <tableColumn name="Column1" id="1"/>
    <tableColumn name="Column2" id="2"/>
  </tableColumns>
  <tableStyleInfo name="Matchup Metrics - Reg Season Cr-style 2" showColumnStripes="0" showFirstColumn="1" showLastColumn="1" showRowStripes="1"/>
</table>
</file>

<file path=xl/tables/table131.xml><?xml version="1.0" encoding="utf-8"?>
<table xmlns="http://schemas.openxmlformats.org/spreadsheetml/2006/main" headerRowCount="0" ref="X41:Z53" displayName="Table_6" name="Table_6" id="131">
  <tableColumns count="3">
    <tableColumn name="Column1" id="1"/>
    <tableColumn name="Column2" id="2"/>
    <tableColumn name="Column3" id="3"/>
  </tableColumns>
  <tableStyleInfo name="Matchup Metrics - Reg Season Cr-style 3" showColumnStripes="0" showFirstColumn="1" showLastColumn="1" showRowStripes="1"/>
</table>
</file>

<file path=xl/tables/table132.xml><?xml version="1.0" encoding="utf-8"?>
<table xmlns="http://schemas.openxmlformats.org/spreadsheetml/2006/main" headerRowCount="0" ref="AL87:AM87" displayName="Table_7" name="Table_7" id="132">
  <tableColumns count="2">
    <tableColumn name="Column1" id="1"/>
    <tableColumn name="Column2" id="2"/>
  </tableColumns>
  <tableStyleInfo name="Matchup Metrics - Reg Season Cr-style 4" showColumnStripes="0" showFirstColumn="1" showLastColumn="1" showRowStripes="1"/>
</table>
</file>

<file path=xl/tables/table133.xml><?xml version="1.0" encoding="utf-8"?>
<table xmlns="http://schemas.openxmlformats.org/spreadsheetml/2006/main" headerRowCount="0" ref="X6:Z19" displayName="Table_8" name="Table_8" id="133">
  <tableColumns count="3">
    <tableColumn name="Column1" id="1"/>
    <tableColumn name="Column2" id="2"/>
    <tableColumn name="Column3" id="3"/>
  </tableColumns>
  <tableStyleInfo name="12 person of Reg Season Creatio-style" showColumnStripes="0" showFirstColumn="1" showLastColumn="1" showRowStripes="1"/>
</table>
</file>

<file path=xl/tables/table134.xml><?xml version="1.0" encoding="utf-8"?>
<table xmlns="http://schemas.openxmlformats.org/spreadsheetml/2006/main" headerRowCount="0" ref="X22:Y33" displayName="Table_9" name="Table_9" id="134">
  <tableColumns count="2">
    <tableColumn name="Column1" id="1"/>
    <tableColumn name="Column2" id="2"/>
  </tableColumns>
  <tableStyleInfo name="12 person of Reg Season Creatio-style 2" showColumnStripes="0" showFirstColumn="1" showLastColumn="1" showRowStripes="1"/>
</table>
</file>

<file path=xl/tables/table135.xml><?xml version="1.0" encoding="utf-8"?>
<table xmlns="http://schemas.openxmlformats.org/spreadsheetml/2006/main" headerRowCount="0" ref="AL87:AM87" displayName="Table_10" name="Table_10" id="135">
  <tableColumns count="2">
    <tableColumn name="Column1" id="1"/>
    <tableColumn name="Column2" id="2"/>
  </tableColumns>
  <tableStyleInfo name="12 person of Reg Season Creatio-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11" Type="http://schemas.openxmlformats.org/officeDocument/2006/relationships/table" Target="../tables/table1.xml"/><Relationship Id="rId13" Type="http://schemas.openxmlformats.org/officeDocument/2006/relationships/table" Target="../tables/table3.xml"/><Relationship Id="rId12" Type="http://schemas.openxmlformats.org/officeDocument/2006/relationships/table" Target="../tables/table2.xml"/><Relationship Id="rId15" Type="http://schemas.openxmlformats.org/officeDocument/2006/relationships/table" Target="../tables/table5.xml"/><Relationship Id="rId14" Type="http://schemas.openxmlformats.org/officeDocument/2006/relationships/table" Target="../tables/table4.xml"/><Relationship Id="rId17" Type="http://schemas.openxmlformats.org/officeDocument/2006/relationships/table" Target="../tables/table7.xml"/><Relationship Id="rId16" Type="http://schemas.openxmlformats.org/officeDocument/2006/relationships/table" Target="../tables/table6.xml"/><Relationship Id="rId19" Type="http://schemas.openxmlformats.org/officeDocument/2006/relationships/table" Target="../tables/table9.xml"/><Relationship Id="rId18" Type="http://schemas.openxmlformats.org/officeDocument/2006/relationships/table" Target="../tables/table8.xml"/></Relationships>
</file>

<file path=xl/worksheets/_rels/sheet2.xml.rels><?xml version="1.0" encoding="UTF-8" standalone="yes"?><Relationships xmlns="http://schemas.openxmlformats.org/package/2006/relationships"><Relationship Id="rId190" Type="http://schemas.openxmlformats.org/officeDocument/2006/relationships/table" Target="../tables/table79.xml"/><Relationship Id="rId194" Type="http://schemas.openxmlformats.org/officeDocument/2006/relationships/table" Target="../tables/table83.xml"/><Relationship Id="rId193" Type="http://schemas.openxmlformats.org/officeDocument/2006/relationships/table" Target="../tables/table82.xml"/><Relationship Id="rId192" Type="http://schemas.openxmlformats.org/officeDocument/2006/relationships/table" Target="../tables/table81.xml"/><Relationship Id="rId191" Type="http://schemas.openxmlformats.org/officeDocument/2006/relationships/table" Target="../tables/table80.xml"/><Relationship Id="rId228" Type="http://schemas.openxmlformats.org/officeDocument/2006/relationships/table" Target="../tables/table117.xml"/><Relationship Id="rId227" Type="http://schemas.openxmlformats.org/officeDocument/2006/relationships/table" Target="../tables/table116.xml"/><Relationship Id="rId226" Type="http://schemas.openxmlformats.org/officeDocument/2006/relationships/table" Target="../tables/table115.xml"/><Relationship Id="rId225" Type="http://schemas.openxmlformats.org/officeDocument/2006/relationships/table" Target="../tables/table114.xml"/><Relationship Id="rId229" Type="http://schemas.openxmlformats.org/officeDocument/2006/relationships/table" Target="../tables/table118.xml"/><Relationship Id="rId187" Type="http://schemas.openxmlformats.org/officeDocument/2006/relationships/table" Target="../tables/table76.xml"/><Relationship Id="rId220" Type="http://schemas.openxmlformats.org/officeDocument/2006/relationships/table" Target="../tables/table109.xml"/><Relationship Id="rId186" Type="http://schemas.openxmlformats.org/officeDocument/2006/relationships/table" Target="../tables/table75.xml"/><Relationship Id="rId185" Type="http://schemas.openxmlformats.org/officeDocument/2006/relationships/table" Target="../tables/table74.xml"/><Relationship Id="rId184" Type="http://schemas.openxmlformats.org/officeDocument/2006/relationships/table" Target="../tables/table73.xml"/><Relationship Id="rId224" Type="http://schemas.openxmlformats.org/officeDocument/2006/relationships/table" Target="../tables/table113.xml"/><Relationship Id="rId223" Type="http://schemas.openxmlformats.org/officeDocument/2006/relationships/table" Target="../tables/table112.xml"/><Relationship Id="rId189" Type="http://schemas.openxmlformats.org/officeDocument/2006/relationships/table" Target="../tables/table78.xml"/><Relationship Id="rId222" Type="http://schemas.openxmlformats.org/officeDocument/2006/relationships/table" Target="../tables/table111.xml"/><Relationship Id="rId188" Type="http://schemas.openxmlformats.org/officeDocument/2006/relationships/table" Target="../tables/table77.xml"/><Relationship Id="rId221" Type="http://schemas.openxmlformats.org/officeDocument/2006/relationships/table" Target="../tables/table110.xml"/><Relationship Id="rId183" Type="http://schemas.openxmlformats.org/officeDocument/2006/relationships/table" Target="../tables/table72.xml"/><Relationship Id="rId182" Type="http://schemas.openxmlformats.org/officeDocument/2006/relationships/table" Target="../tables/table71.xml"/><Relationship Id="rId181" Type="http://schemas.openxmlformats.org/officeDocument/2006/relationships/table" Target="../tables/table70.xml"/><Relationship Id="rId180" Type="http://schemas.openxmlformats.org/officeDocument/2006/relationships/table" Target="../tables/table69.xml"/><Relationship Id="rId217" Type="http://schemas.openxmlformats.org/officeDocument/2006/relationships/table" Target="../tables/table106.xml"/><Relationship Id="rId216" Type="http://schemas.openxmlformats.org/officeDocument/2006/relationships/table" Target="../tables/table105.xml"/><Relationship Id="rId215" Type="http://schemas.openxmlformats.org/officeDocument/2006/relationships/table" Target="../tables/table104.xml"/><Relationship Id="rId214" Type="http://schemas.openxmlformats.org/officeDocument/2006/relationships/table" Target="../tables/table103.xml"/><Relationship Id="rId219" Type="http://schemas.openxmlformats.org/officeDocument/2006/relationships/table" Target="../tables/table108.xml"/><Relationship Id="rId218" Type="http://schemas.openxmlformats.org/officeDocument/2006/relationships/table" Target="../tables/table107.xml"/><Relationship Id="rId176" Type="http://schemas.openxmlformats.org/officeDocument/2006/relationships/table" Target="../tables/table65.xml"/><Relationship Id="rId175" Type="http://schemas.openxmlformats.org/officeDocument/2006/relationships/table" Target="../tables/table64.xml"/><Relationship Id="rId174" Type="http://schemas.openxmlformats.org/officeDocument/2006/relationships/table" Target="../tables/table63.xml"/><Relationship Id="rId173" Type="http://schemas.openxmlformats.org/officeDocument/2006/relationships/table" Target="../tables/table62.xml"/><Relationship Id="rId213" Type="http://schemas.openxmlformats.org/officeDocument/2006/relationships/table" Target="../tables/table102.xml"/><Relationship Id="rId179" Type="http://schemas.openxmlformats.org/officeDocument/2006/relationships/table" Target="../tables/table68.xml"/><Relationship Id="rId212" Type="http://schemas.openxmlformats.org/officeDocument/2006/relationships/table" Target="../tables/table101.xml"/><Relationship Id="rId178" Type="http://schemas.openxmlformats.org/officeDocument/2006/relationships/table" Target="../tables/table67.xml"/><Relationship Id="rId211" Type="http://schemas.openxmlformats.org/officeDocument/2006/relationships/table" Target="../tables/table100.xml"/><Relationship Id="rId177" Type="http://schemas.openxmlformats.org/officeDocument/2006/relationships/table" Target="../tables/table66.xml"/><Relationship Id="rId210" Type="http://schemas.openxmlformats.org/officeDocument/2006/relationships/table" Target="../tables/table99.xml"/><Relationship Id="rId129" Type="http://schemas.openxmlformats.org/officeDocument/2006/relationships/table" Target="../tables/table18.xml"/><Relationship Id="rId128" Type="http://schemas.openxmlformats.org/officeDocument/2006/relationships/table" Target="../tables/table17.xml"/><Relationship Id="rId127" Type="http://schemas.openxmlformats.org/officeDocument/2006/relationships/table" Target="../tables/table16.xml"/><Relationship Id="rId126" Type="http://schemas.openxmlformats.org/officeDocument/2006/relationships/table" Target="../tables/table15.xml"/><Relationship Id="rId121" Type="http://schemas.openxmlformats.org/officeDocument/2006/relationships/table" Target="../tables/table10.xml"/><Relationship Id="rId125" Type="http://schemas.openxmlformats.org/officeDocument/2006/relationships/table" Target="../tables/table14.xml"/><Relationship Id="rId124" Type="http://schemas.openxmlformats.org/officeDocument/2006/relationships/table" Target="../tables/table13.xml"/><Relationship Id="rId123" Type="http://schemas.openxmlformats.org/officeDocument/2006/relationships/table" Target="../tables/table12.xml"/><Relationship Id="rId122" Type="http://schemas.openxmlformats.org/officeDocument/2006/relationships/table" Target="../tables/table11.xml"/><Relationship Id="rId239" Type="http://schemas.openxmlformats.org/officeDocument/2006/relationships/table" Target="../tables/table128.xml"/><Relationship Id="rId238" Type="http://schemas.openxmlformats.org/officeDocument/2006/relationships/table" Target="../tables/table127.xml"/><Relationship Id="rId237" Type="http://schemas.openxmlformats.org/officeDocument/2006/relationships/table" Target="../tables/table126.xml"/><Relationship Id="rId236" Type="http://schemas.openxmlformats.org/officeDocument/2006/relationships/table" Target="../tables/table125.xml"/><Relationship Id="rId198" Type="http://schemas.openxmlformats.org/officeDocument/2006/relationships/table" Target="../tables/table87.xml"/><Relationship Id="rId231" Type="http://schemas.openxmlformats.org/officeDocument/2006/relationships/table" Target="../tables/table120.xml"/><Relationship Id="rId197" Type="http://schemas.openxmlformats.org/officeDocument/2006/relationships/table" Target="../tables/table86.xml"/><Relationship Id="rId230" Type="http://schemas.openxmlformats.org/officeDocument/2006/relationships/table" Target="../tables/table119.xml"/><Relationship Id="rId196" Type="http://schemas.openxmlformats.org/officeDocument/2006/relationships/table" Target="../tables/table85.xml"/><Relationship Id="rId195" Type="http://schemas.openxmlformats.org/officeDocument/2006/relationships/table" Target="../tables/table84.xml"/><Relationship Id="rId235" Type="http://schemas.openxmlformats.org/officeDocument/2006/relationships/table" Target="../tables/table124.xml"/><Relationship Id="rId234" Type="http://schemas.openxmlformats.org/officeDocument/2006/relationships/table" Target="../tables/table123.xml"/><Relationship Id="rId233" Type="http://schemas.openxmlformats.org/officeDocument/2006/relationships/table" Target="../tables/table122.xml"/><Relationship Id="rId199" Type="http://schemas.openxmlformats.org/officeDocument/2006/relationships/table" Target="../tables/table88.xml"/><Relationship Id="rId232" Type="http://schemas.openxmlformats.org/officeDocument/2006/relationships/table" Target="../tables/table121.xml"/><Relationship Id="rId150" Type="http://schemas.openxmlformats.org/officeDocument/2006/relationships/table" Target="../tables/table39.xml"/><Relationship Id="rId1" Type="http://schemas.openxmlformats.org/officeDocument/2006/relationships/drawing" Target="../drawings/drawing2.xml"/><Relationship Id="rId149" Type="http://schemas.openxmlformats.org/officeDocument/2006/relationships/table" Target="../tables/table38.xml"/><Relationship Id="rId148" Type="http://schemas.openxmlformats.org/officeDocument/2006/relationships/table" Target="../tables/table37.xml"/><Relationship Id="rId143" Type="http://schemas.openxmlformats.org/officeDocument/2006/relationships/table" Target="../tables/table32.xml"/><Relationship Id="rId142" Type="http://schemas.openxmlformats.org/officeDocument/2006/relationships/table" Target="../tables/table31.xml"/><Relationship Id="rId141" Type="http://schemas.openxmlformats.org/officeDocument/2006/relationships/table" Target="../tables/table30.xml"/><Relationship Id="rId140" Type="http://schemas.openxmlformats.org/officeDocument/2006/relationships/table" Target="../tables/table29.xml"/><Relationship Id="rId147" Type="http://schemas.openxmlformats.org/officeDocument/2006/relationships/table" Target="../tables/table36.xml"/><Relationship Id="rId146" Type="http://schemas.openxmlformats.org/officeDocument/2006/relationships/table" Target="../tables/table35.xml"/><Relationship Id="rId145" Type="http://schemas.openxmlformats.org/officeDocument/2006/relationships/table" Target="../tables/table34.xml"/><Relationship Id="rId144" Type="http://schemas.openxmlformats.org/officeDocument/2006/relationships/table" Target="../tables/table33.xml"/><Relationship Id="rId139" Type="http://schemas.openxmlformats.org/officeDocument/2006/relationships/table" Target="../tables/table28.xml"/><Relationship Id="rId138" Type="http://schemas.openxmlformats.org/officeDocument/2006/relationships/table" Target="../tables/table27.xml"/><Relationship Id="rId137" Type="http://schemas.openxmlformats.org/officeDocument/2006/relationships/table" Target="../tables/table26.xml"/><Relationship Id="rId132" Type="http://schemas.openxmlformats.org/officeDocument/2006/relationships/table" Target="../tables/table21.xml"/><Relationship Id="rId131" Type="http://schemas.openxmlformats.org/officeDocument/2006/relationships/table" Target="../tables/table20.xml"/><Relationship Id="rId130" Type="http://schemas.openxmlformats.org/officeDocument/2006/relationships/table" Target="../tables/table19.xml"/><Relationship Id="rId136" Type="http://schemas.openxmlformats.org/officeDocument/2006/relationships/table" Target="../tables/table25.xml"/><Relationship Id="rId135" Type="http://schemas.openxmlformats.org/officeDocument/2006/relationships/table" Target="../tables/table24.xml"/><Relationship Id="rId134" Type="http://schemas.openxmlformats.org/officeDocument/2006/relationships/table" Target="../tables/table23.xml"/><Relationship Id="rId133" Type="http://schemas.openxmlformats.org/officeDocument/2006/relationships/table" Target="../tables/table22.xml"/><Relationship Id="rId172" Type="http://schemas.openxmlformats.org/officeDocument/2006/relationships/table" Target="../tables/table61.xml"/><Relationship Id="rId171" Type="http://schemas.openxmlformats.org/officeDocument/2006/relationships/table" Target="../tables/table60.xml"/><Relationship Id="rId170" Type="http://schemas.openxmlformats.org/officeDocument/2006/relationships/table" Target="../tables/table59.xml"/><Relationship Id="rId206" Type="http://schemas.openxmlformats.org/officeDocument/2006/relationships/table" Target="../tables/table95.xml"/><Relationship Id="rId205" Type="http://schemas.openxmlformats.org/officeDocument/2006/relationships/table" Target="../tables/table94.xml"/><Relationship Id="rId204" Type="http://schemas.openxmlformats.org/officeDocument/2006/relationships/table" Target="../tables/table93.xml"/><Relationship Id="rId203" Type="http://schemas.openxmlformats.org/officeDocument/2006/relationships/table" Target="../tables/table92.xml"/><Relationship Id="rId209" Type="http://schemas.openxmlformats.org/officeDocument/2006/relationships/table" Target="../tables/table98.xml"/><Relationship Id="rId208" Type="http://schemas.openxmlformats.org/officeDocument/2006/relationships/table" Target="../tables/table97.xml"/><Relationship Id="rId207" Type="http://schemas.openxmlformats.org/officeDocument/2006/relationships/table" Target="../tables/table96.xml"/><Relationship Id="rId165" Type="http://schemas.openxmlformats.org/officeDocument/2006/relationships/table" Target="../tables/table54.xml"/><Relationship Id="rId164" Type="http://schemas.openxmlformats.org/officeDocument/2006/relationships/table" Target="../tables/table53.xml"/><Relationship Id="rId163" Type="http://schemas.openxmlformats.org/officeDocument/2006/relationships/table" Target="../tables/table52.xml"/><Relationship Id="rId162" Type="http://schemas.openxmlformats.org/officeDocument/2006/relationships/table" Target="../tables/table51.xml"/><Relationship Id="rId169" Type="http://schemas.openxmlformats.org/officeDocument/2006/relationships/table" Target="../tables/table58.xml"/><Relationship Id="rId202" Type="http://schemas.openxmlformats.org/officeDocument/2006/relationships/table" Target="../tables/table91.xml"/><Relationship Id="rId168" Type="http://schemas.openxmlformats.org/officeDocument/2006/relationships/table" Target="../tables/table57.xml"/><Relationship Id="rId201" Type="http://schemas.openxmlformats.org/officeDocument/2006/relationships/table" Target="../tables/table90.xml"/><Relationship Id="rId167" Type="http://schemas.openxmlformats.org/officeDocument/2006/relationships/table" Target="../tables/table56.xml"/><Relationship Id="rId200" Type="http://schemas.openxmlformats.org/officeDocument/2006/relationships/table" Target="../tables/table89.xml"/><Relationship Id="rId166" Type="http://schemas.openxmlformats.org/officeDocument/2006/relationships/table" Target="../tables/table55.xml"/><Relationship Id="rId161" Type="http://schemas.openxmlformats.org/officeDocument/2006/relationships/table" Target="../tables/table50.xml"/><Relationship Id="rId160" Type="http://schemas.openxmlformats.org/officeDocument/2006/relationships/table" Target="../tables/table49.xml"/><Relationship Id="rId159" Type="http://schemas.openxmlformats.org/officeDocument/2006/relationships/table" Target="../tables/table48.xml"/><Relationship Id="rId154" Type="http://schemas.openxmlformats.org/officeDocument/2006/relationships/table" Target="../tables/table43.xml"/><Relationship Id="rId153" Type="http://schemas.openxmlformats.org/officeDocument/2006/relationships/table" Target="../tables/table42.xml"/><Relationship Id="rId152" Type="http://schemas.openxmlformats.org/officeDocument/2006/relationships/table" Target="../tables/table41.xml"/><Relationship Id="rId151" Type="http://schemas.openxmlformats.org/officeDocument/2006/relationships/table" Target="../tables/table40.xml"/><Relationship Id="rId158" Type="http://schemas.openxmlformats.org/officeDocument/2006/relationships/table" Target="../tables/table47.xml"/><Relationship Id="rId157" Type="http://schemas.openxmlformats.org/officeDocument/2006/relationships/table" Target="../tables/table46.xml"/><Relationship Id="rId156" Type="http://schemas.openxmlformats.org/officeDocument/2006/relationships/table" Target="../tables/table45.xml"/><Relationship Id="rId155" Type="http://schemas.openxmlformats.org/officeDocument/2006/relationships/table" Target="../tables/table4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9" Type="http://schemas.openxmlformats.org/officeDocument/2006/relationships/table" Target="../tables/table132.xml"/><Relationship Id="rId6" Type="http://schemas.openxmlformats.org/officeDocument/2006/relationships/table" Target="../tables/table129.xml"/><Relationship Id="rId7" Type="http://schemas.openxmlformats.org/officeDocument/2006/relationships/table" Target="../tables/table130.xml"/><Relationship Id="rId8" Type="http://schemas.openxmlformats.org/officeDocument/2006/relationships/table" Target="../tables/table13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5" Type="http://schemas.openxmlformats.org/officeDocument/2006/relationships/table" Target="../tables/table133.xml"/><Relationship Id="rId6" Type="http://schemas.openxmlformats.org/officeDocument/2006/relationships/table" Target="../tables/table134.xml"/><Relationship Id="rId7" Type="http://schemas.openxmlformats.org/officeDocument/2006/relationships/table" Target="../tables/table13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14.63"/>
    <col customWidth="1" min="3" max="3" width="13.0"/>
    <col customWidth="1" min="4" max="4" width="15.13"/>
    <col customWidth="1" min="5" max="6" width="18.63"/>
    <col customWidth="1" min="7" max="7" width="15.0"/>
    <col customWidth="1" min="8" max="8" width="15.38"/>
    <col customWidth="1" min="9" max="9" width="14.5"/>
    <col customWidth="1" min="10" max="10" width="14.25"/>
    <col customWidth="1" min="11" max="11" width="12.63"/>
    <col customWidth="1" min="12" max="12" width="9.25"/>
    <col customWidth="1" min="13" max="13" width="18.13"/>
    <col customWidth="1" min="14" max="14" width="9.88"/>
    <col customWidth="1" min="15" max="15" width="12.38"/>
    <col customWidth="1" min="16" max="16" width="8.63"/>
    <col customWidth="1" min="17" max="18" width="9.5"/>
    <col customWidth="1" min="19" max="19" width="10.88"/>
  </cols>
  <sheetData>
    <row r="1" ht="15.75" customHeight="1">
      <c r="A1" s="1" t="s">
        <v>0</v>
      </c>
      <c r="B1" s="2" t="s">
        <v>1</v>
      </c>
      <c r="C1" s="2" t="s">
        <v>2</v>
      </c>
      <c r="D1" s="2" t="s">
        <v>3</v>
      </c>
      <c r="E1" s="2" t="s">
        <v>4</v>
      </c>
      <c r="F1" s="2" t="s">
        <v>5</v>
      </c>
      <c r="G1" s="3" t="s">
        <v>6</v>
      </c>
      <c r="M1" s="2" t="s">
        <v>7</v>
      </c>
      <c r="N1" s="4" t="s">
        <v>8</v>
      </c>
      <c r="O1" s="3" t="s">
        <v>9</v>
      </c>
    </row>
    <row r="2" ht="15.75" customHeight="1">
      <c r="A2" s="5" t="s">
        <v>10</v>
      </c>
      <c r="B2" s="6">
        <f>SUMIF('S3 Regular Season'!A:A, A2, 'S3 Regular Season'!B:B) + SUMIF('S3 Regular Season'!K:K, A2, 'S3 Regular Season'!L:L)</f>
        <v>0</v>
      </c>
      <c r="C2" s="6">
        <f>SUMIF('S3 Regular Season'!A:A, A2, 'S3 Regular Season'!C:C) + SUMIF('S3 Regular Season'!K:K, A2, 'S3 Regular Season'!M:M)</f>
        <v>0</v>
      </c>
      <c r="D2" s="7">
        <f>SUMIF('S3 Regular Season'!A:A, A2, 'S3 Regular Season'!D:D) + SUMIF('S3 Regular Season'!K:K, A2, 'S3 Regular Season'!N:N)</f>
        <v>0</v>
      </c>
      <c r="E2" s="6">
        <f>SUMIF('S3 Regular Season'!A:A, A2, 'S3 Regular Season'!F:F) + SUMIF('S3 Regular Season'!K:K, A2, 'S3 Regular Season'!P:P)</f>
        <v>0</v>
      </c>
      <c r="F2" s="8">
        <f> IFERROR(SUMIF(S3_Stats[4], A2, S3_Stats[Total Damage]) / SUMIF(S3_Game_Stats[Name], A2, S3_Game_Stats[Rounds Played]), 0)</f>
        <v>0</v>
      </c>
      <c r="G2" s="9">
        <f> SUMIF(S3_Stats[4], A2, S3_Stats[Kills]) - SUMIF(S3_Stats[4], A2, S3_Stats[Deaths])</f>
        <v>0</v>
      </c>
      <c r="M2" s="10" t="s">
        <v>1</v>
      </c>
      <c r="N2" s="11" t="str">
        <f t="array" ref="N2">INDIRECT("A"&amp;MATCH(MAX(S3_Stats[Kills]), S3_Stats[Kills], 0)+1)</f>
        <v>Adam</v>
      </c>
      <c r="O2" s="12">
        <f>MAX(S3_Stats[Kills])</f>
        <v>0</v>
      </c>
    </row>
    <row r="3" ht="15.75" customHeight="1">
      <c r="A3" s="5" t="s">
        <v>11</v>
      </c>
      <c r="B3" s="6">
        <f>SUMIF('S3 Regular Season'!A:A, A3, 'S3 Regular Season'!B:B) + SUMIF('S3 Regular Season'!K:K, A3, 'S3 Regular Season'!L:L)</f>
        <v>0</v>
      </c>
      <c r="C3" s="6">
        <f>SUMIF('S3 Regular Season'!A:A, A3, 'S3 Regular Season'!C:C) + SUMIF('S3 Regular Season'!K:K, A3, 'S3 Regular Season'!M:M)</f>
        <v>0</v>
      </c>
      <c r="D3" s="7">
        <f>SUMIF('S3 Regular Season'!A:A, A3, 'S3 Regular Season'!D:D) + SUMIF('S3 Regular Season'!K:K, A3, 'S3 Regular Season'!N:N)</f>
        <v>0</v>
      </c>
      <c r="E3" s="6">
        <f>SUMIF('S3 Regular Season'!A:A, A3, 'S3 Regular Season'!F:F) + SUMIF('S3 Regular Season'!K:K, A3, 'S3 Regular Season'!P:P)</f>
        <v>0</v>
      </c>
      <c r="F3" s="8">
        <f> IFERROR(SUMIF(S3_Stats[4], A3, S3_Stats[Total Damage]) / SUMIF(S3_Game_Stats[Name], A3, S3_Game_Stats[Rounds Played]), 0)</f>
        <v>0</v>
      </c>
      <c r="G3" s="9">
        <f> SUMIF(S3_Stats[4], A3, S3_Stats[Kills]) - SUMIF(S3_Stats[4], A3, S3_Stats[Deaths])</f>
        <v>0</v>
      </c>
      <c r="M3" s="10" t="s">
        <v>2</v>
      </c>
      <c r="N3" s="11" t="str">
        <f t="array" ref="N3">INDIRECT("A"&amp;MATCH(MAX(S3_Stats[Assists]), S3_Stats[Assists], 0)+1)</f>
        <v>Adam</v>
      </c>
      <c r="O3" s="12">
        <f>MAX(S3_Stats[Assists])</f>
        <v>0</v>
      </c>
    </row>
    <row r="4" ht="15.75" customHeight="1">
      <c r="A4" s="5" t="s">
        <v>12</v>
      </c>
      <c r="B4" s="6">
        <f>SUMIF('S3 Regular Season'!A:A, A4, 'S3 Regular Season'!B:B) + SUMIF('S3 Regular Season'!K:K, A4, 'S3 Regular Season'!L:L)</f>
        <v>0</v>
      </c>
      <c r="C4" s="6">
        <f>SUMIF('S3 Regular Season'!A:A, A4, 'S3 Regular Season'!C:C) + SUMIF('S3 Regular Season'!K:K, A4, 'S3 Regular Season'!M:M)</f>
        <v>0</v>
      </c>
      <c r="D4" s="7">
        <f>SUMIF('S3 Regular Season'!A:A, A4, 'S3 Regular Season'!D:D) + SUMIF('S3 Regular Season'!K:K, A4, 'S3 Regular Season'!N:N)</f>
        <v>0</v>
      </c>
      <c r="E4" s="6">
        <f>SUMIF('S3 Regular Season'!A:A, A4, 'S3 Regular Season'!F:F) + SUMIF('S3 Regular Season'!K:K, A4, 'S3 Regular Season'!P:P)</f>
        <v>0</v>
      </c>
      <c r="F4" s="8">
        <f> IFERROR(SUMIF(S3_Stats[4], A4, S3_Stats[Total Damage]) / SUMIF(S3_Game_Stats[Name], A4, S3_Game_Stats[Rounds Played]), 0)</f>
        <v>0</v>
      </c>
      <c r="G4" s="9">
        <f> SUMIF(S3_Stats[4], A4, S3_Stats[Kills]) - SUMIF(S3_Stats[4], A4, S3_Stats[Deaths])</f>
        <v>0</v>
      </c>
      <c r="M4" s="10" t="s">
        <v>13</v>
      </c>
      <c r="N4" s="13" t="str">
        <f t="array" ref="N4">INDIRECT("A"&amp;MATCH(MIN(S3_Stats[Deaths]), S3_Stats[Deaths], 0)+1)</f>
        <v>Adam</v>
      </c>
      <c r="O4" s="14">
        <f>MIN(S3_Stats[Deaths])</f>
        <v>0</v>
      </c>
    </row>
    <row r="5" ht="15.75" customHeight="1">
      <c r="A5" s="5" t="s">
        <v>14</v>
      </c>
      <c r="B5" s="6">
        <f>SUMIF('S3 Regular Season'!A:A, A5, 'S3 Regular Season'!B:B) + SUMIF('S3 Regular Season'!K:K, A5, 'S3 Regular Season'!L:L)</f>
        <v>0</v>
      </c>
      <c r="C5" s="6">
        <f>SUMIF('S3 Regular Season'!A:A, A5, 'S3 Regular Season'!C:C) + SUMIF('S3 Regular Season'!K:K, A5, 'S3 Regular Season'!M:M)</f>
        <v>0</v>
      </c>
      <c r="D5" s="7">
        <f>SUMIF('S3 Regular Season'!A:A, A5, 'S3 Regular Season'!D:D) + SUMIF('S3 Regular Season'!K:K, A5, 'S3 Regular Season'!N:N)</f>
        <v>0</v>
      </c>
      <c r="E5" s="6">
        <f>SUMIF('S3 Regular Season'!A:A, A5, 'S3 Regular Season'!F:F) + SUMIF('S3 Regular Season'!K:K, A5, 'S3 Regular Season'!P:P)</f>
        <v>0</v>
      </c>
      <c r="F5" s="8">
        <f> IFERROR(SUMIF(S3_Stats[4], A5, S3_Stats[Total Damage]) / SUMIF(S3_Game_Stats[Name], A5, S3_Game_Stats[Rounds Played]), 0)</f>
        <v>0</v>
      </c>
      <c r="G5" s="9">
        <f> SUMIF(S3_Stats[4], A5, S3_Stats[Kills]) - SUMIF(S3_Stats[4], A5, S3_Stats[Deaths])</f>
        <v>0</v>
      </c>
      <c r="M5" s="10" t="s">
        <v>15</v>
      </c>
      <c r="N5" s="13" t="str">
        <f t="array" ref="N5">INDIRECT("A"&amp;MATCH(MAX(S3_Kill_Stats[K/D]), S3_Kill_Stats[K/D], 0)+13)</f>
        <v>#N/A</v>
      </c>
      <c r="O5" s="15">
        <f>MAX(S3_Kill_Stats[K/D])</f>
        <v>0</v>
      </c>
    </row>
    <row r="6" ht="15.75" customHeight="1">
      <c r="A6" s="5" t="s">
        <v>16</v>
      </c>
      <c r="B6" s="6">
        <f>SUMIF('S3 Regular Season'!A:A, A6, 'S3 Regular Season'!B:B) + SUMIF('S3 Regular Season'!K:K, A6, 'S3 Regular Season'!L:L)</f>
        <v>0</v>
      </c>
      <c r="C6" s="6">
        <f>SUMIF('S3 Regular Season'!A:A, A6, 'S3 Regular Season'!C:C) + SUMIF('S3 Regular Season'!K:K, A6, 'S3 Regular Season'!M:M)</f>
        <v>0</v>
      </c>
      <c r="D6" s="7">
        <f>SUMIF('S3 Regular Season'!A:A, A6, 'S3 Regular Season'!D:D) + SUMIF('S3 Regular Season'!K:K, A6, 'S3 Regular Season'!N:N)</f>
        <v>0</v>
      </c>
      <c r="E6" s="6">
        <f>SUMIF('S3 Regular Season'!A:A, A6, 'S3 Regular Season'!F:F) + SUMIF('S3 Regular Season'!K:K, A6, 'S3 Regular Season'!P:P)</f>
        <v>0</v>
      </c>
      <c r="F6" s="8">
        <f> IFERROR(SUMIF(S3_Stats[4], A6, S3_Stats[Total Damage]) / SUMIF(S3_Game_Stats[Name], A6, S3_Game_Stats[Rounds Played]), 0)</f>
        <v>0</v>
      </c>
      <c r="G6" s="9">
        <f> SUMIF(S3_Stats[4], A6, S3_Stats[Kills]) - SUMIF(S3_Stats[4], A6, S3_Stats[Deaths])</f>
        <v>0</v>
      </c>
      <c r="M6" s="10" t="s">
        <v>17</v>
      </c>
      <c r="N6" s="13" t="str">
        <f t="array" ref="N6">INDIRECT("A"&amp;MATCH(MAX(S3_Game_Stats[Rounds Played]), S3_Game_Stats[Rounds Played], 0)+25)</f>
        <v>Michael</v>
      </c>
      <c r="O6" s="14">
        <f>MAX(S3_Game_Stats[Rounds Played])</f>
        <v>0</v>
      </c>
    </row>
    <row r="7" ht="15.75" customHeight="1">
      <c r="A7" s="5" t="s">
        <v>18</v>
      </c>
      <c r="B7" s="6">
        <f>SUMIF('S3 Regular Season'!A:A, A7, 'S3 Regular Season'!B:B) + SUMIF('S3 Regular Season'!K:K, A7, 'S3 Regular Season'!L:L)</f>
        <v>0</v>
      </c>
      <c r="C7" s="6">
        <f>SUMIF('S3 Regular Season'!A:A, A7, 'S3 Regular Season'!C:C) + SUMIF('S3 Regular Season'!K:K, A7, 'S3 Regular Season'!M:M)</f>
        <v>0</v>
      </c>
      <c r="D7" s="7">
        <f>SUMIF('S3 Regular Season'!A:A, A7, 'S3 Regular Season'!D:D) + SUMIF('S3 Regular Season'!K:K, A7, 'S3 Regular Season'!N:N)</f>
        <v>0</v>
      </c>
      <c r="E7" s="6">
        <f>SUMIF('S3 Regular Season'!A:A, A7, 'S3 Regular Season'!F:F) + SUMIF('S3 Regular Season'!K:K, A7, 'S3 Regular Season'!P:P)</f>
        <v>0</v>
      </c>
      <c r="F7" s="8">
        <f> IFERROR(SUMIF(S3_Stats[4], A7, S3_Stats[Total Damage]) / SUMIF(S3_Game_Stats[Name], A7, S3_Game_Stats[Rounds Played]), 0)</f>
        <v>0</v>
      </c>
      <c r="G7" s="9">
        <f> SUMIF(S3_Stats[4], A7, S3_Stats[Kills]) - SUMIF(S3_Stats[4], A7, S3_Stats[Deaths])</f>
        <v>0</v>
      </c>
      <c r="M7" s="10" t="s">
        <v>19</v>
      </c>
      <c r="N7" s="13" t="str">
        <f t="array" ref="N7">INDIRECT("A"&amp;MATCH(MIN(S3_Game_Stats[Rounds Played]), S3_Game_Stats[Rounds Played], 0)+25)</f>
        <v>Michael</v>
      </c>
      <c r="O7" s="14">
        <f>MIN(S3_Game_Stats[Rounds Played])</f>
        <v>0</v>
      </c>
    </row>
    <row r="8" ht="15.75" customHeight="1">
      <c r="A8" s="5" t="s">
        <v>20</v>
      </c>
      <c r="B8" s="6">
        <f>SUMIF('S3 Regular Season'!A:A, A8, 'S3 Regular Season'!B:B) + SUMIF('S3 Regular Season'!K:K, A8, 'S3 Regular Season'!L:L)</f>
        <v>0</v>
      </c>
      <c r="C8" s="6">
        <f>SUMIF('S3 Regular Season'!A:A, A8, 'S3 Regular Season'!C:C) + SUMIF('S3 Regular Season'!K:K, A8, 'S3 Regular Season'!M:M)</f>
        <v>0</v>
      </c>
      <c r="D8" s="7">
        <f>SUMIF('S3 Regular Season'!A:A, A8, 'S3 Regular Season'!D:D) + SUMIF('S3 Regular Season'!K:K, A8, 'S3 Regular Season'!N:N)</f>
        <v>0</v>
      </c>
      <c r="E8" s="6">
        <f>SUMIF('S3 Regular Season'!A:A, A8, 'S3 Regular Season'!F:F) + SUMIF('S3 Regular Season'!K:K, A8, 'S3 Regular Season'!P:P)</f>
        <v>0</v>
      </c>
      <c r="F8" s="8">
        <f> IFERROR(SUMIF(S3_Stats[4], A8, S3_Stats[Total Damage]) / SUMIF(S3_Game_Stats[Name], A8, S3_Game_Stats[Rounds Played]), 0)</f>
        <v>0</v>
      </c>
      <c r="G8" s="9">
        <f> SUMIF(S3_Stats[4], A8, S3_Stats[Kills]) - SUMIF(S3_Stats[4], A8, S3_Stats[Deaths])</f>
        <v>0</v>
      </c>
      <c r="M8" s="10" t="s">
        <v>21</v>
      </c>
      <c r="N8" s="13" t="str">
        <f t="array" ref="N8">INDIRECT("A"&amp;MATCH(MAX(S3_Game_Stats[Round WR %]), S3_Game_Stats[Round WR %], 0)+25)</f>
        <v>#N/A</v>
      </c>
      <c r="O8" s="16">
        <f>MAX(S3_Game_Stats[Round WR %])</f>
        <v>0</v>
      </c>
    </row>
    <row r="9" ht="15.75" customHeight="1">
      <c r="A9" s="5" t="s">
        <v>22</v>
      </c>
      <c r="B9" s="6">
        <f>SUMIF('S3 Regular Season'!A:A, A9, 'S3 Regular Season'!B:B) + SUMIF('S3 Regular Season'!K:K, A9, 'S3 Regular Season'!L:L)</f>
        <v>0</v>
      </c>
      <c r="C9" s="6">
        <f>SUMIF('S3 Regular Season'!A:A, A9, 'S3 Regular Season'!C:C) + SUMIF('S3 Regular Season'!K:K, A9, 'S3 Regular Season'!M:M)</f>
        <v>0</v>
      </c>
      <c r="D9" s="7">
        <f>SUMIF('S3 Regular Season'!A:A, A9, 'S3 Regular Season'!D:D) + SUMIF('S3 Regular Season'!K:K, A9, 'S3 Regular Season'!N:N)</f>
        <v>0</v>
      </c>
      <c r="E9" s="6">
        <f>SUMIF('S3 Regular Season'!A:A, A9, 'S3 Regular Season'!F:F) + SUMIF('S3 Regular Season'!K:K, A9, 'S3 Regular Season'!P:P)</f>
        <v>0</v>
      </c>
      <c r="F9" s="8">
        <f> IFERROR(SUMIF(S3_Stats[4], A9, S3_Stats[Total Damage]) / SUMIF(S3_Game_Stats[Name], A9, S3_Game_Stats[Rounds Played]), 0)</f>
        <v>0</v>
      </c>
      <c r="G9" s="9">
        <f> SUMIF(S3_Stats[4], A9, S3_Stats[Kills]) - SUMIF(S3_Stats[4], A9, S3_Stats[Deaths])</f>
        <v>0</v>
      </c>
      <c r="M9" s="10" t="s">
        <v>23</v>
      </c>
      <c r="N9" s="13" t="str">
        <f t="array" ref="N9">INDIRECT("A"&amp;MATCH(MAX(S3_Stats[Total Damage]), S3_Stats[Total Damage], 0)+1)</f>
        <v>Adam</v>
      </c>
      <c r="O9" s="14">
        <f>MAX(S3_Stats[Total Damage])</f>
        <v>0</v>
      </c>
    </row>
    <row r="10" ht="15.75" customHeight="1">
      <c r="A10" s="5" t="s">
        <v>24</v>
      </c>
      <c r="B10" s="6">
        <f>SUMIF('S3 Regular Season'!A:A, A10, 'S3 Regular Season'!B:B) + SUMIF('S3 Regular Season'!K:K, A10, 'S3 Regular Season'!L:L)</f>
        <v>0</v>
      </c>
      <c r="C10" s="6">
        <f>SUMIF('S3 Regular Season'!A:A, A10, 'S3 Regular Season'!C:C) + SUMIF('S3 Regular Season'!K:K, A10, 'S3 Regular Season'!M:M)</f>
        <v>0</v>
      </c>
      <c r="D10" s="7">
        <f>SUMIF('S3 Regular Season'!A:A, A10, 'S3 Regular Season'!D:D) + SUMIF('S3 Regular Season'!K:K, A10, 'S3 Regular Season'!N:N)</f>
        <v>0</v>
      </c>
      <c r="E10" s="6">
        <f>SUMIF('S3 Regular Season'!A:A, A10, 'S3 Regular Season'!F:F) + SUMIF('S3 Regular Season'!K:K, A10, 'S3 Regular Season'!P:P)</f>
        <v>0</v>
      </c>
      <c r="F10" s="8">
        <f> IFERROR(SUMIF(S3_Stats[4], A10, S3_Stats[Total Damage]) / SUMIF(S3_Game_Stats[Name], A10, S3_Game_Stats[Rounds Played]), 0)</f>
        <v>0</v>
      </c>
      <c r="G10" s="9">
        <f> SUMIF(S3_Stats[4], A10, S3_Stats[Kills]) - SUMIF(S3_Stats[4], A10, S3_Stats[Deaths])</f>
        <v>0</v>
      </c>
      <c r="M10" s="10" t="s">
        <v>25</v>
      </c>
      <c r="N10" s="13" t="str">
        <f t="array" ref="N10">INDIRECT("A"&amp;MATCH(MAX(S3_Avg_Game_Stats[Dmg/Game]), S3_Avg_Game_Stats[Dmg/Game], 0)+38)</f>
        <v>#N/A</v>
      </c>
      <c r="O10" s="17">
        <f>MAX(S3_Avg_Game_Stats[Dmg/Game])</f>
        <v>0</v>
      </c>
    </row>
    <row r="11" ht="15.75" customHeight="1">
      <c r="A11" s="5" t="s">
        <v>26</v>
      </c>
      <c r="B11" s="6">
        <f>SUMIF('S3 Regular Season'!A:A, A11, 'S3 Regular Season'!B:B) + SUMIF('S3 Regular Season'!K:K, A11, 'S3 Regular Season'!L:L)</f>
        <v>0</v>
      </c>
      <c r="C11" s="6">
        <f>SUMIF('S3 Regular Season'!A:A, A11, 'S3 Regular Season'!C:C) + SUMIF('S3 Regular Season'!K:K, A11, 'S3 Regular Season'!M:M)</f>
        <v>0</v>
      </c>
      <c r="D11" s="7">
        <f>SUMIF('S3 Regular Season'!A:A, A11, 'S3 Regular Season'!D:D) + SUMIF('S3 Regular Season'!K:K, A11, 'S3 Regular Season'!N:N)</f>
        <v>0</v>
      </c>
      <c r="E11" s="6">
        <f>SUMIF('S3 Regular Season'!A:A, A11, 'S3 Regular Season'!F:F) + SUMIF('S3 Regular Season'!K:K, A11, 'S3 Regular Season'!P:P)</f>
        <v>0</v>
      </c>
      <c r="F11" s="8">
        <f> IFERROR(SUMIF(S3_Stats[4], A11, S3_Stats[Total Damage]) / SUMIF(S3_Game_Stats[Name], A11, S3_Game_Stats[Rounds Played]), 0)</f>
        <v>0</v>
      </c>
      <c r="G11" s="9">
        <f> SUMIF(S3_Stats[4], A11, S3_Stats[Kills]) - SUMIF(S3_Stats[4], A11, S3_Stats[Deaths])</f>
        <v>0</v>
      </c>
      <c r="M11" s="10" t="s">
        <v>27</v>
      </c>
      <c r="N11" s="13" t="str">
        <f t="array" ref="N11">INDIRECT("A"&amp;MATCH(MAX(S3_Stats[ADR]), S3_Stats[ADR], 0)+1)</f>
        <v>Adam</v>
      </c>
      <c r="O11" s="18">
        <f>MAX(S3_Stats[ADR])</f>
        <v>0</v>
      </c>
    </row>
    <row r="12" ht="15.75" customHeight="1">
      <c r="A12" s="5" t="s">
        <v>28</v>
      </c>
      <c r="B12" s="6">
        <f>SUMIF('S3 Regular Season'!A:A, A12, 'S3 Regular Season'!B:B) + SUMIF('S3 Regular Season'!K:K, A12, 'S3 Regular Season'!L:L)</f>
        <v>0</v>
      </c>
      <c r="C12" s="6">
        <f>SUMIF('S3 Regular Season'!A:A, A12, 'S3 Regular Season'!C:C) + SUMIF('S3 Regular Season'!K:K, A12, 'S3 Regular Season'!M:M)</f>
        <v>0</v>
      </c>
      <c r="D12" s="7">
        <f>SUMIF('S3 Regular Season'!A:A, A12, 'S3 Regular Season'!D:D) + SUMIF('S3 Regular Season'!K:K, A12, 'S3 Regular Season'!N:N)</f>
        <v>0</v>
      </c>
      <c r="E12" s="6">
        <f>SUMIF('S3 Regular Season'!A:A, A12, 'S3 Regular Season'!F:F) + SUMIF('S3 Regular Season'!K:K, A12, 'S3 Regular Season'!P:P)</f>
        <v>0</v>
      </c>
      <c r="F12" s="8">
        <f> IFERROR(SUMIF(S3_Stats[4], A12, S3_Stats[Total Damage]) / SUMIF(S3_Game_Stats[Name], A12, S3_Game_Stats[Rounds Played]), 0)</f>
        <v>0</v>
      </c>
      <c r="G12" s="9">
        <f> SUMIF(S3_Stats[4], A12, S3_Stats[Kills]) - SUMIF(S3_Stats[4], A12, S3_Stats[Deaths])</f>
        <v>0</v>
      </c>
      <c r="M12" s="19" t="s">
        <v>29</v>
      </c>
      <c r="N12" s="20" t="str">
        <f t="array" ref="N12">INDIRECT("A"&amp;MATCH(MAX(S3_Avg_Game_Stats[Rounds/Game]), S3_Avg_Game_Stats[Rounds/Game], 0)+38)</f>
        <v>#N/A</v>
      </c>
      <c r="O12" s="21">
        <f>MAX(S3_Avg_Game_Stats[Rounds/Game])</f>
        <v>0</v>
      </c>
    </row>
    <row r="13" ht="15.75" customHeight="1">
      <c r="A13" s="5" t="s">
        <v>30</v>
      </c>
      <c r="B13" s="6">
        <f>SUMIF('S3 Regular Season'!A:A, A13, 'S3 Regular Season'!B:B) + SUMIF('S3 Regular Season'!K:K, A13, 'S3 Regular Season'!L:L)</f>
        <v>0</v>
      </c>
      <c r="C13" s="6">
        <f>SUMIF('S3 Regular Season'!A:A, A13, 'S3 Regular Season'!C:C) + SUMIF('S3 Regular Season'!K:K, A13, 'S3 Regular Season'!M:M)</f>
        <v>0</v>
      </c>
      <c r="D13" s="7">
        <f>SUMIF('S3 Regular Season'!A:A, A13, 'S3 Regular Season'!D:D) + SUMIF('S3 Regular Season'!K:K, A13, 'S3 Regular Season'!N:N)</f>
        <v>0</v>
      </c>
      <c r="E13" s="6">
        <f>SUMIF('S3 Regular Season'!A:A, A13, 'S3 Regular Season'!F:F) + SUMIF('S3 Regular Season'!K:K, A13, 'S3 Regular Season'!P:P)</f>
        <v>0</v>
      </c>
      <c r="F13" s="8">
        <f> IFERROR(SUMIF(S3_Stats[4], A13, S3_Stats[Total Damage]) / SUMIF(S3_Game_Stats[Name], A13, S3_Game_Stats[Rounds Played]), 0)</f>
        <v>0</v>
      </c>
      <c r="G13" s="9">
        <f> SUMIF(S3_Stats[4], A13, S3_Stats[Kills]) - SUMIF(S3_Stats[4], A13, S3_Stats[Deaths])</f>
        <v>0</v>
      </c>
    </row>
    <row r="14" ht="15.75" customHeight="1">
      <c r="A14" s="22" t="s">
        <v>31</v>
      </c>
      <c r="B14" s="23">
        <f>SUMIF('S3 Regular Season'!A:A, A14, 'S3 Regular Season'!B:B) + SUMIF('S3 Regular Season'!K:K, A14, 'S3 Regular Season'!L:L)</f>
        <v>0</v>
      </c>
      <c r="C14" s="23">
        <f>SUMIF('S3 Regular Season'!A:A, A14, 'S3 Regular Season'!C:C) + SUMIF('S3 Regular Season'!K:K, A14, 'S3 Regular Season'!M:M)</f>
        <v>0</v>
      </c>
      <c r="D14" s="24">
        <f>SUMIF('S3 Regular Season'!A:A, A14, 'S3 Regular Season'!D:D) + SUMIF('S3 Regular Season'!K:K, A14, 'S3 Regular Season'!N:N)</f>
        <v>0</v>
      </c>
      <c r="E14" s="25">
        <f>SUMIF('S3 Regular Season'!A:A, A14, 'S3 Regular Season'!F:F) + SUMIF('S3 Regular Season'!K:K, A14, 'S3 Regular Season'!P:P)</f>
        <v>0</v>
      </c>
      <c r="F14" s="8">
        <f> IFERROR(SUMIF(S3_Stats[4], A14, S3_Stats[Total Damage]) / SUMIF(S3_Game_Stats[Name], A14, S3_Game_Stats[Rounds Played]), 0)</f>
        <v>0</v>
      </c>
      <c r="G14" s="9">
        <f> SUMIF(S3_Stats[4], A14, S3_Stats[Kills]) - SUMIF(S3_Stats[4], A14, S3_Stats[Deaths])</f>
        <v>0</v>
      </c>
    </row>
    <row r="15" ht="15.75" customHeight="1"/>
    <row r="16" ht="15.75" customHeight="1"/>
    <row r="17" ht="15.75" customHeight="1">
      <c r="A17" s="26" t="s">
        <v>32</v>
      </c>
      <c r="B17" s="27" t="s">
        <v>15</v>
      </c>
      <c r="C17" s="28" t="s">
        <v>33</v>
      </c>
      <c r="D17" s="29" t="s">
        <v>34</v>
      </c>
      <c r="E17" s="30" t="s">
        <v>35</v>
      </c>
      <c r="F17" s="31" t="s">
        <v>36</v>
      </c>
      <c r="G17" s="28" t="s">
        <v>37</v>
      </c>
      <c r="H17" s="28" t="s">
        <v>38</v>
      </c>
      <c r="I17" s="28" t="s">
        <v>39</v>
      </c>
      <c r="J17" s="28" t="s">
        <v>40</v>
      </c>
    </row>
    <row r="18" ht="15.75" customHeight="1">
      <c r="A18" s="32" t="s">
        <v>10</v>
      </c>
      <c r="B18" s="33" t="str">
        <f> IFERROR(SUMIF(S3_Stats[4], A18, S3_Stats[Kills]) / SUMIF(S3_Stats[4], A18, S3_Stats[Deaths]),"")</f>
        <v/>
      </c>
      <c r="C18" s="34" t="str">
        <f> IFERROR(SUMIF(S3_Stats[4], A18, S3_Stats[Total Damage]) / SUMIF(S3_Stats[4], A18, S3_Stats[Kills]),"")</f>
        <v/>
      </c>
      <c r="D18" s="35" t="str">
        <f> IFERROR(SUMIF(S3_Stats[4], A18, S3_Stats[Kills]) / SUMIF(S3_Game_Stats[Name], A18, S3_Game_Stats[Rounds Played]),"")</f>
        <v/>
      </c>
      <c r="E18" s="36" t="str">
        <f> IFERROR(SUMIF(S3_Stats[4], A18, S3_Stats[Assists]) / SUMIF(S3_Game_Stats[Name], A18, S3_Game_Stats[Rounds Played]),"")</f>
        <v/>
      </c>
      <c r="F18" s="37" t="str">
        <f> IFERROR(SUMIF(S3_Stats[4], A18, S3_Stats[Deaths]) / SUMIF(S3_Game_Stats[Name], A18, S3_Game_Stats[Rounds Played]),"")</f>
        <v/>
      </c>
      <c r="G18" s="38" t="str">
        <f> IFERROR((SUMIFS('S3 Regular Season'!B:B, 'S3 Regular Season'!A:A, A18, 'S3 Regular Season'!I:I, 1) + SUMIFS('S3 Regular Season'!L:L, 'S3 Regular Season'!K:K, A18, 'S3 Regular Season'!S:S, 1)) / SUMIF(S3_Game_Stats[Name], A18, S3_Game_Stats[Wins]),"")</f>
        <v/>
      </c>
      <c r="H18" s="39" t="str">
        <f> IFERROR((SUMIFS('S3 Regular Season'!D:D, 'S3 Regular Season'!A:A, A18, 'S3 Regular Season'!I:I, 1) + SUMIFS('S3 Regular Season'!N:N, 'S3 Regular Season'!K:K, A18, 'S3 Regular Season'!S:S, 1)) / SUMIF(S3_Game_Stats[Name], A18, S3_Game_Stats[Wins]),"")</f>
        <v/>
      </c>
      <c r="I18" s="38" t="str">
        <f> IFERROR((SUMIFS('S3 Regular Season'!B:B, 'S3 Regular Season'!A:A, A18, 'S3 Regular Season'!I:I, 0) + SUMIFS('S3 Regular Season'!L:L, 'S3 Regular Season'!K:K, A18, 'S3 Regular Season'!S:S, 0)) / SUMIF(S3_Game_Stats[Name], A18, S3_Game_Stats[Losses]),"")</f>
        <v/>
      </c>
      <c r="J18" s="38" t="str">
        <f> IFERROR((SUMIFS('S3 Regular Season'!D:D, 'S3 Regular Season'!A:A, A18, 'S3 Regular Season'!I:I, 0) + SUMIFS('S3 Regular Season'!N:N, 'S3 Regular Season'!K:K, A18, 'S3 Regular Season'!S:S, 0)) / SUMIF(S3_Game_Stats[Name], A18, S3_Game_Stats[Losses]),"")</f>
        <v/>
      </c>
    </row>
    <row r="19" ht="15.75" customHeight="1">
      <c r="A19" s="32" t="s">
        <v>11</v>
      </c>
      <c r="B19" s="33" t="str">
        <f> IFERROR(SUMIF(S3_Stats[4], A19, S3_Stats[Kills]) / SUMIF(S3_Stats[4], A19, S3_Stats[Deaths]),"")</f>
        <v/>
      </c>
      <c r="C19" s="40" t="str">
        <f> IFERROR(SUMIF(S3_Stats[4], A19, S3_Stats[Total Damage]) / SUMIF(S3_Stats[4], A19, S3_Stats[Kills]),"")</f>
        <v/>
      </c>
      <c r="D19" s="35" t="str">
        <f> IFERROR(SUMIF(S3_Stats[4], A19, S3_Stats[Kills]) / SUMIF(S3_Game_Stats[Name], A19, S3_Game_Stats[Rounds Played]),"")</f>
        <v/>
      </c>
      <c r="E19" s="36" t="str">
        <f> IFERROR(SUMIF(S3_Stats[4], A19, S3_Stats[Assists]) / SUMIF(S3_Game_Stats[Name], A19, S3_Game_Stats[Rounds Played]),"")</f>
        <v/>
      </c>
      <c r="F19" s="37" t="str">
        <f> IFERROR(SUMIF(S3_Stats[4], A19, S3_Stats[Deaths]) / SUMIF(S3_Game_Stats[Name], A19, S3_Game_Stats[Rounds Played]),"")</f>
        <v/>
      </c>
      <c r="G19" s="38" t="str">
        <f> IFERROR((SUMIFS('S3 Regular Season'!B:B, 'S3 Regular Season'!A:A, A19, 'S3 Regular Season'!I:I, 1) + SUMIFS('S3 Regular Season'!L:L, 'S3 Regular Season'!K:K, A19, 'S3 Regular Season'!S:S, 1)) / SUMIF(S3_Game_Stats[Name], A19, S3_Game_Stats[Wins]),"")</f>
        <v/>
      </c>
      <c r="H19" s="39" t="str">
        <f> IFERROR((SUMIFS('S3 Regular Season'!D:D, 'S3 Regular Season'!A:A, A19, 'S3 Regular Season'!I:I, 1) + SUMIFS('S3 Regular Season'!N:N, 'S3 Regular Season'!K:K, A19, 'S3 Regular Season'!S:S, 1)) / SUMIF(S3_Game_Stats[Name], A19, S3_Game_Stats[Wins]),"")</f>
        <v/>
      </c>
      <c r="I19" s="38" t="str">
        <f> IFERROR((SUMIFS('S3 Regular Season'!B:B, 'S3 Regular Season'!A:A, A19, 'S3 Regular Season'!I:I, 0) + SUMIFS('S3 Regular Season'!L:L, 'S3 Regular Season'!K:K, A19, 'S3 Regular Season'!S:S, 0)) / SUMIF(S3_Game_Stats[Name], A19, S3_Game_Stats[Losses]),"")</f>
        <v/>
      </c>
      <c r="J19" s="38" t="str">
        <f> IFERROR((SUMIFS('S3 Regular Season'!D:D, 'S3 Regular Season'!A:A, A19, 'S3 Regular Season'!I:I, 0) + SUMIFS('S3 Regular Season'!N:N, 'S3 Regular Season'!K:K, A19, 'S3 Regular Season'!S:S, 0)) / SUMIF(S3_Game_Stats[Name], A19, S3_Game_Stats[Losses]),"")</f>
        <v/>
      </c>
    </row>
    <row r="20" ht="15.75" customHeight="1">
      <c r="A20" s="32" t="s">
        <v>12</v>
      </c>
      <c r="B20" s="33" t="str">
        <f> IFERROR(SUMIF(S3_Stats[4], A20, S3_Stats[Kills]) / SUMIF(S3_Stats[4], A20, S3_Stats[Deaths]),"")</f>
        <v/>
      </c>
      <c r="C20" s="40" t="str">
        <f> IFERROR(SUMIF(S3_Stats[4], A20, S3_Stats[Total Damage]) / SUMIF(S3_Stats[4], A20, S3_Stats[Kills]),"")</f>
        <v/>
      </c>
      <c r="D20" s="35" t="str">
        <f> IFERROR(SUMIF(S3_Stats[4], A20, S3_Stats[Kills]) / SUMIF(S3_Game_Stats[Name], A20, S3_Game_Stats[Rounds Played]),"")</f>
        <v/>
      </c>
      <c r="E20" s="36" t="str">
        <f> IFERROR(SUMIF(S3_Stats[4], A20, S3_Stats[Assists]) / SUMIF(S3_Game_Stats[Name], A20, S3_Game_Stats[Rounds Played]),"")</f>
        <v/>
      </c>
      <c r="F20" s="37" t="str">
        <f> IFERROR(SUMIF(S3_Stats[4], A20, S3_Stats[Deaths]) / SUMIF(S3_Game_Stats[Name], A20, S3_Game_Stats[Rounds Played]),"")</f>
        <v/>
      </c>
      <c r="G20" s="38" t="str">
        <f> IFERROR((SUMIFS('S3 Regular Season'!B:B, 'S3 Regular Season'!A:A, A20, 'S3 Regular Season'!I:I, 1) + SUMIFS('S3 Regular Season'!L:L, 'S3 Regular Season'!K:K, A20, 'S3 Regular Season'!S:S, 1)) / SUMIF(S3_Game_Stats[Name], A20, S3_Game_Stats[Wins]),"")</f>
        <v/>
      </c>
      <c r="H20" s="39" t="str">
        <f> IFERROR((SUMIFS('S3 Regular Season'!D:D, 'S3 Regular Season'!A:A, A20, 'S3 Regular Season'!I:I, 1) + SUMIFS('S3 Regular Season'!N:N, 'S3 Regular Season'!K:K, A20, 'S3 Regular Season'!S:S, 1)) / SUMIF(S3_Game_Stats[Name], A20, S3_Game_Stats[Wins]),"")</f>
        <v/>
      </c>
      <c r="I20" s="38" t="str">
        <f> IFERROR((SUMIFS('S3 Regular Season'!B:B, 'S3 Regular Season'!A:A, A20, 'S3 Regular Season'!I:I, 0) + SUMIFS('S3 Regular Season'!L:L, 'S3 Regular Season'!K:K, A20, 'S3 Regular Season'!S:S, 0)) / SUMIF(S3_Game_Stats[Name], A20, S3_Game_Stats[Losses]),"")</f>
        <v/>
      </c>
      <c r="J20" s="38" t="str">
        <f> IFERROR((SUMIFS('S3 Regular Season'!D:D, 'S3 Regular Season'!A:A, A20, 'S3 Regular Season'!I:I, 0) + SUMIFS('S3 Regular Season'!N:N, 'S3 Regular Season'!K:K, A20, 'S3 Regular Season'!S:S, 0)) / SUMIF(S3_Game_Stats[Name], A20, S3_Game_Stats[Losses]),"")</f>
        <v/>
      </c>
    </row>
    <row r="21" ht="15.75" customHeight="1">
      <c r="A21" s="32" t="s">
        <v>14</v>
      </c>
      <c r="B21" s="33" t="str">
        <f> IFERROR(SUMIF(S3_Stats[4], A21, S3_Stats[Kills]) / SUMIF(S3_Stats[4], A21, S3_Stats[Deaths]),"")</f>
        <v/>
      </c>
      <c r="C21" s="40" t="str">
        <f> IFERROR(SUMIF(S3_Stats[4], A21, S3_Stats[Total Damage]) / SUMIF(S3_Stats[4], A21, S3_Stats[Kills]),"")</f>
        <v/>
      </c>
      <c r="D21" s="35" t="str">
        <f> IFERROR(SUMIF(S3_Stats[4], A21, S3_Stats[Kills]) / SUMIF(S3_Game_Stats[Name], A21, S3_Game_Stats[Rounds Played]),"")</f>
        <v/>
      </c>
      <c r="E21" s="36" t="str">
        <f> IFERROR(SUMIF(S3_Stats[4], A21, S3_Stats[Assists]) / SUMIF(S3_Game_Stats[Name], A21, S3_Game_Stats[Rounds Played]),"")</f>
        <v/>
      </c>
      <c r="F21" s="37" t="str">
        <f> IFERROR(SUMIF(S3_Stats[4], A21, S3_Stats[Deaths]) / SUMIF(S3_Game_Stats[Name], A21, S3_Game_Stats[Rounds Played]),"")</f>
        <v/>
      </c>
      <c r="G21" s="38" t="str">
        <f> IFERROR((SUMIFS('S3 Regular Season'!B:B, 'S3 Regular Season'!A:A, A21, 'S3 Regular Season'!I:I, 1) + SUMIFS('S3 Regular Season'!L:L, 'S3 Regular Season'!K:K, A21, 'S3 Regular Season'!S:S, 1)) / SUMIF(S3_Game_Stats[Name], A21, S3_Game_Stats[Wins]),"")</f>
        <v/>
      </c>
      <c r="H21" s="39" t="str">
        <f> IFERROR((SUMIFS('S3 Regular Season'!D:D, 'S3 Regular Season'!A:A, A21, 'S3 Regular Season'!I:I, 1) + SUMIFS('S3 Regular Season'!N:N, 'S3 Regular Season'!K:K, A21, 'S3 Regular Season'!S:S, 1)) / SUMIF(S3_Game_Stats[Name], A21, S3_Game_Stats[Wins]),"")</f>
        <v/>
      </c>
      <c r="I21" s="38" t="str">
        <f> IFERROR((SUMIFS('S3 Regular Season'!B:B, 'S3 Regular Season'!A:A, A21, 'S3 Regular Season'!I:I, 0) + SUMIFS('S3 Regular Season'!L:L, 'S3 Regular Season'!K:K, A21, 'S3 Regular Season'!S:S, 0)) / SUMIF(S3_Game_Stats[Name], A21, S3_Game_Stats[Losses]),"")</f>
        <v/>
      </c>
      <c r="J21" s="38" t="str">
        <f> IFERROR((SUMIFS('S3 Regular Season'!D:D, 'S3 Regular Season'!A:A, A21, 'S3 Regular Season'!I:I, 0) + SUMIFS('S3 Regular Season'!N:N, 'S3 Regular Season'!K:K, A21, 'S3 Regular Season'!S:S, 0)) / SUMIF(S3_Game_Stats[Name], A21, S3_Game_Stats[Losses]),"")</f>
        <v/>
      </c>
    </row>
    <row r="22" ht="15.75" customHeight="1">
      <c r="A22" s="32" t="s">
        <v>16</v>
      </c>
      <c r="B22" s="33" t="str">
        <f> IFERROR(SUMIF(S3_Stats[4], A22, S3_Stats[Kills]) / SUMIF(S3_Stats[4], A22, S3_Stats[Deaths]),"")</f>
        <v/>
      </c>
      <c r="C22" s="40" t="str">
        <f> IFERROR(SUMIF(S3_Stats[4], A22, S3_Stats[Total Damage]) / SUMIF(S3_Stats[4], A22, S3_Stats[Kills]),"")</f>
        <v/>
      </c>
      <c r="D22" s="35" t="str">
        <f> IFERROR(SUMIF(S3_Stats[4], A22, S3_Stats[Kills]) / SUMIF(S3_Game_Stats[Name], A22, S3_Game_Stats[Rounds Played]),"")</f>
        <v/>
      </c>
      <c r="E22" s="36" t="str">
        <f> IFERROR(SUMIF(S3_Stats[4], A22, S3_Stats[Assists]) / SUMIF(S3_Game_Stats[Name], A22, S3_Game_Stats[Rounds Played]),"")</f>
        <v/>
      </c>
      <c r="F22" s="37" t="str">
        <f> IFERROR(SUMIF(S3_Stats[4], A22, S3_Stats[Deaths]) / SUMIF(S3_Game_Stats[Name], A22, S3_Game_Stats[Rounds Played]),"")</f>
        <v/>
      </c>
      <c r="G22" s="38" t="str">
        <f> IFERROR((SUMIFS('S3 Regular Season'!B:B, 'S3 Regular Season'!A:A, A22, 'S3 Regular Season'!I:I, 1) + SUMIFS('S3 Regular Season'!L:L, 'S3 Regular Season'!K:K, A22, 'S3 Regular Season'!S:S, 1)) / SUMIF(S3_Game_Stats[Name], A22, S3_Game_Stats[Wins]),"")</f>
        <v/>
      </c>
      <c r="H22" s="39" t="str">
        <f> IFERROR((SUMIFS('S3 Regular Season'!D:D, 'S3 Regular Season'!A:A, A22, 'S3 Regular Season'!I:I, 1) + SUMIFS('S3 Regular Season'!N:N, 'S3 Regular Season'!K:K, A22, 'S3 Regular Season'!S:S, 1)) / SUMIF(S3_Game_Stats[Name], A22, S3_Game_Stats[Wins]),"")</f>
        <v/>
      </c>
      <c r="I22" s="38" t="str">
        <f> IFERROR((SUMIFS('S3 Regular Season'!B:B, 'S3 Regular Season'!A:A, A22, 'S3 Regular Season'!I:I, 0) + SUMIFS('S3 Regular Season'!L:L, 'S3 Regular Season'!K:K, A22, 'S3 Regular Season'!S:S, 0)) / SUMIF(S3_Game_Stats[Name], A22, S3_Game_Stats[Losses]),"")</f>
        <v/>
      </c>
      <c r="J22" s="38" t="str">
        <f> IFERROR((SUMIFS('S3 Regular Season'!D:D, 'S3 Regular Season'!A:A, A22, 'S3 Regular Season'!I:I, 0) + SUMIFS('S3 Regular Season'!N:N, 'S3 Regular Season'!K:K, A22, 'S3 Regular Season'!S:S, 0)) / SUMIF(S3_Game_Stats[Name], A22, S3_Game_Stats[Losses]),"")</f>
        <v/>
      </c>
    </row>
    <row r="23" ht="15.75" customHeight="1">
      <c r="A23" s="32" t="s">
        <v>18</v>
      </c>
      <c r="B23" s="33" t="str">
        <f> IFERROR(SUMIF(S3_Stats[4], A23, S3_Stats[Kills]) / SUMIF(S3_Stats[4], A23, S3_Stats[Deaths]),"")</f>
        <v/>
      </c>
      <c r="C23" s="40" t="str">
        <f> IFERROR(SUMIF(S3_Stats[4], A23, S3_Stats[Total Damage]) / SUMIF(S3_Stats[4], A23, S3_Stats[Kills]),"")</f>
        <v/>
      </c>
      <c r="D23" s="35" t="str">
        <f> IFERROR(SUMIF(S3_Stats[4], A23, S3_Stats[Kills]) / SUMIF(S3_Game_Stats[Name], A23, S3_Game_Stats[Rounds Played]),"")</f>
        <v/>
      </c>
      <c r="E23" s="36" t="str">
        <f> IFERROR(SUMIF(S3_Stats[4], A23, S3_Stats[Assists]) / SUMIF(S3_Game_Stats[Name], A23, S3_Game_Stats[Rounds Played]),"")</f>
        <v/>
      </c>
      <c r="F23" s="37" t="str">
        <f> IFERROR(SUMIF(S3_Stats[4], A23, S3_Stats[Deaths]) / SUMIF(S3_Game_Stats[Name], A23, S3_Game_Stats[Rounds Played]),"")</f>
        <v/>
      </c>
      <c r="G23" s="38" t="str">
        <f> IFERROR((SUMIFS('S3 Regular Season'!B:B, 'S3 Regular Season'!A:A, A23, 'S3 Regular Season'!I:I, 1) + SUMIFS('S3 Regular Season'!L:L, 'S3 Regular Season'!K:K, A23, 'S3 Regular Season'!S:S, 1)) / SUMIF(S3_Game_Stats[Name], A23, S3_Game_Stats[Wins]),"")</f>
        <v/>
      </c>
      <c r="H23" s="39" t="str">
        <f> IFERROR((SUMIFS('S3 Regular Season'!D:D, 'S3 Regular Season'!A:A, A23, 'S3 Regular Season'!I:I, 1) + SUMIFS('S3 Regular Season'!N:N, 'S3 Regular Season'!K:K, A23, 'S3 Regular Season'!S:S, 1)) / SUMIF(S3_Game_Stats[Name], A23, S3_Game_Stats[Wins]),"")</f>
        <v/>
      </c>
      <c r="I23" s="38" t="str">
        <f> IFERROR((SUMIFS('S3 Regular Season'!B:B, 'S3 Regular Season'!A:A, A23, 'S3 Regular Season'!I:I, 0) + SUMIFS('S3 Regular Season'!L:L, 'S3 Regular Season'!K:K, A23, 'S3 Regular Season'!S:S, 0)) / SUMIF(S3_Game_Stats[Name], A23, S3_Game_Stats[Losses]),"")</f>
        <v/>
      </c>
      <c r="J23" s="38" t="str">
        <f> IFERROR((SUMIFS('S3 Regular Season'!D:D, 'S3 Regular Season'!A:A, A23, 'S3 Regular Season'!I:I, 0) + SUMIFS('S3 Regular Season'!N:N, 'S3 Regular Season'!K:K, A23, 'S3 Regular Season'!S:S, 0)) / SUMIF(S3_Game_Stats[Name], A23, S3_Game_Stats[Losses]),"")</f>
        <v/>
      </c>
    </row>
    <row r="24" ht="15.75" customHeight="1">
      <c r="A24" s="32" t="s">
        <v>20</v>
      </c>
      <c r="B24" s="33" t="str">
        <f> IFERROR(SUMIF(S3_Stats[4], A24, S3_Stats[Kills]) / SUMIF(S3_Stats[4], A24, S3_Stats[Deaths]),"")</f>
        <v/>
      </c>
      <c r="C24" s="40" t="str">
        <f> IFERROR(SUMIF(S3_Stats[4], A24, S3_Stats[Total Damage]) / SUMIF(S3_Stats[4], A24, S3_Stats[Kills]),"")</f>
        <v/>
      </c>
      <c r="D24" s="35" t="str">
        <f> IFERROR(SUMIF(S3_Stats[4], A24, S3_Stats[Kills]) / SUMIF(S3_Game_Stats[Name], A24, S3_Game_Stats[Rounds Played]),"")</f>
        <v/>
      </c>
      <c r="E24" s="36" t="str">
        <f> IFERROR(SUMIF(S3_Stats[4], A24, S3_Stats[Assists]) / SUMIF(S3_Game_Stats[Name], A24, S3_Game_Stats[Rounds Played]),"")</f>
        <v/>
      </c>
      <c r="F24" s="37" t="str">
        <f> IFERROR(SUMIF(S3_Stats[4], A24, S3_Stats[Deaths]) / SUMIF(S3_Game_Stats[Name], A24, S3_Game_Stats[Rounds Played]),"")</f>
        <v/>
      </c>
      <c r="G24" s="38" t="str">
        <f> IFERROR((SUMIFS('S3 Regular Season'!B:B, 'S3 Regular Season'!A:A, A24, 'S3 Regular Season'!I:I, 1) + SUMIFS('S3 Regular Season'!L:L, 'S3 Regular Season'!K:K, A24, 'S3 Regular Season'!S:S, 1)) / SUMIF(S3_Game_Stats[Name], A24, S3_Game_Stats[Wins]),"")</f>
        <v/>
      </c>
      <c r="H24" s="39" t="str">
        <f> IFERROR((SUMIFS('S3 Regular Season'!D:D, 'S3 Regular Season'!A:A, A24, 'S3 Regular Season'!I:I, 1) + SUMIFS('S3 Regular Season'!N:N, 'S3 Regular Season'!K:K, A24, 'S3 Regular Season'!S:S, 1)) / SUMIF(S3_Game_Stats[Name], A24, S3_Game_Stats[Wins]),"")</f>
        <v/>
      </c>
      <c r="I24" s="38" t="str">
        <f> IFERROR((SUMIFS('S3 Regular Season'!B:B, 'S3 Regular Season'!A:A, A24, 'S3 Regular Season'!I:I, 0) + SUMIFS('S3 Regular Season'!L:L, 'S3 Regular Season'!K:K, A24, 'S3 Regular Season'!S:S, 0)) / SUMIF(S3_Game_Stats[Name], A24, S3_Game_Stats[Losses]),"")</f>
        <v/>
      </c>
      <c r="J24" s="38" t="str">
        <f> IFERROR((SUMIFS('S3 Regular Season'!D:D, 'S3 Regular Season'!A:A, A24, 'S3 Regular Season'!I:I, 0) + SUMIFS('S3 Regular Season'!N:N, 'S3 Regular Season'!K:K, A24, 'S3 Regular Season'!S:S, 0)) / SUMIF(S3_Game_Stats[Name], A24, S3_Game_Stats[Losses]),"")</f>
        <v/>
      </c>
    </row>
    <row r="25" ht="15.75" customHeight="1">
      <c r="A25" s="32" t="s">
        <v>22</v>
      </c>
      <c r="B25" s="33" t="str">
        <f> IFERROR(SUMIF(S3_Stats[4], A25, S3_Stats[Kills]) / SUMIF(S3_Stats[4], A25, S3_Stats[Deaths]),"")</f>
        <v/>
      </c>
      <c r="C25" s="40" t="str">
        <f> IFERROR(SUMIF(S3_Stats[4], A25, S3_Stats[Total Damage]) / SUMIF(S3_Stats[4], A25, S3_Stats[Kills]),"")</f>
        <v/>
      </c>
      <c r="D25" s="35" t="str">
        <f> IFERROR(SUMIF(S3_Stats[4], A25, S3_Stats[Kills]) / SUMIF(S3_Game_Stats[Name], A25, S3_Game_Stats[Rounds Played]),"")</f>
        <v/>
      </c>
      <c r="E25" s="36" t="str">
        <f> IFERROR(SUMIF(S3_Stats[4], A25, S3_Stats[Assists]) / SUMIF(S3_Game_Stats[Name], A25, S3_Game_Stats[Rounds Played]),"")</f>
        <v/>
      </c>
      <c r="F25" s="37" t="str">
        <f> IFERROR(SUMIF(S3_Stats[4], A25, S3_Stats[Deaths]) / SUMIF(S3_Game_Stats[Name], A25, S3_Game_Stats[Rounds Played]),"")</f>
        <v/>
      </c>
      <c r="G25" s="38" t="str">
        <f> IFERROR((SUMIFS('S3 Regular Season'!B:B, 'S3 Regular Season'!A:A, A25, 'S3 Regular Season'!I:I, 1) + SUMIFS('S3 Regular Season'!L:L, 'S3 Regular Season'!K:K, A25, 'S3 Regular Season'!S:S, 1)) / SUMIF(S3_Game_Stats[Name], A25, S3_Game_Stats[Wins]),"")</f>
        <v/>
      </c>
      <c r="H25" s="39" t="str">
        <f> IFERROR((SUMIFS('S3 Regular Season'!D:D, 'S3 Regular Season'!A:A, A25, 'S3 Regular Season'!I:I, 1) + SUMIFS('S3 Regular Season'!N:N, 'S3 Regular Season'!K:K, A25, 'S3 Regular Season'!S:S, 1)) / SUMIF(S3_Game_Stats[Name], A25, S3_Game_Stats[Wins]),"")</f>
        <v/>
      </c>
      <c r="I25" s="38" t="str">
        <f> IFERROR((SUMIFS('S3 Regular Season'!B:B, 'S3 Regular Season'!A:A, A25, 'S3 Regular Season'!I:I, 0) + SUMIFS('S3 Regular Season'!L:L, 'S3 Regular Season'!K:K, A25, 'S3 Regular Season'!S:S, 0)) / SUMIF(S3_Game_Stats[Name], A25, S3_Game_Stats[Losses]),"")</f>
        <v/>
      </c>
      <c r="J25" s="38" t="str">
        <f> IFERROR((SUMIFS('S3 Regular Season'!D:D, 'S3 Regular Season'!A:A, A25, 'S3 Regular Season'!I:I, 0) + SUMIFS('S3 Regular Season'!N:N, 'S3 Regular Season'!K:K, A25, 'S3 Regular Season'!S:S, 0)) / SUMIF(S3_Game_Stats[Name], A25, S3_Game_Stats[Losses]),"")</f>
        <v/>
      </c>
    </row>
    <row r="26" ht="15.75" customHeight="1">
      <c r="A26" s="32" t="s">
        <v>24</v>
      </c>
      <c r="B26" s="33" t="str">
        <f> IFERROR(SUMIF(S3_Stats[4], A26, S3_Stats[Kills]) / SUMIF(S3_Stats[4], A26, S3_Stats[Deaths]),"")</f>
        <v/>
      </c>
      <c r="C26" s="40" t="str">
        <f> IFERROR(SUMIF(S3_Stats[4], A26, S3_Stats[Total Damage]) / SUMIF(S3_Stats[4], A26, S3_Stats[Kills]),"")</f>
        <v/>
      </c>
      <c r="D26" s="35" t="str">
        <f> IFERROR(SUMIF(S3_Stats[4], A26, S3_Stats[Kills]) / SUMIF(S3_Game_Stats[Name], A26, S3_Game_Stats[Rounds Played]),"")</f>
        <v/>
      </c>
      <c r="E26" s="36" t="str">
        <f> IFERROR(SUMIF(S3_Stats[4], A26, S3_Stats[Assists]) / SUMIF(S3_Game_Stats[Name], A26, S3_Game_Stats[Rounds Played]),"")</f>
        <v/>
      </c>
      <c r="F26" s="37" t="str">
        <f> IFERROR(SUMIF(S3_Stats[4], A26, S3_Stats[Deaths]) / SUMIF(S3_Game_Stats[Name], A26, S3_Game_Stats[Rounds Played]),"")</f>
        <v/>
      </c>
      <c r="G26" s="38" t="str">
        <f> IFERROR((SUMIFS('S3 Regular Season'!B:B, 'S3 Regular Season'!A:A, A26, 'S3 Regular Season'!I:I, 1) + SUMIFS('S3 Regular Season'!L:L, 'S3 Regular Season'!K:K, A26, 'S3 Regular Season'!S:S, 1)) / SUMIF(S3_Game_Stats[Name], A26, S3_Game_Stats[Wins]),"")</f>
        <v/>
      </c>
      <c r="H26" s="39" t="str">
        <f> IFERROR((SUMIFS('S3 Regular Season'!D:D, 'S3 Regular Season'!A:A, A26, 'S3 Regular Season'!I:I, 1) + SUMIFS('S3 Regular Season'!N:N, 'S3 Regular Season'!K:K, A26, 'S3 Regular Season'!S:S, 1)) / SUMIF(S3_Game_Stats[Name], A26, S3_Game_Stats[Wins]),"")</f>
        <v/>
      </c>
      <c r="I26" s="38" t="str">
        <f> IFERROR((SUMIFS('S3 Regular Season'!B:B, 'S3 Regular Season'!A:A, A26, 'S3 Regular Season'!I:I, 0) + SUMIFS('S3 Regular Season'!L:L, 'S3 Regular Season'!K:K, A26, 'S3 Regular Season'!S:S, 0)) / SUMIF(S3_Game_Stats[Name], A26, S3_Game_Stats[Losses]),"")</f>
        <v/>
      </c>
      <c r="J26" s="38" t="str">
        <f> IFERROR((SUMIFS('S3 Regular Season'!D:D, 'S3 Regular Season'!A:A, A26, 'S3 Regular Season'!I:I, 0) + SUMIFS('S3 Regular Season'!N:N, 'S3 Regular Season'!K:K, A26, 'S3 Regular Season'!S:S, 0)) / SUMIF(S3_Game_Stats[Name], A26, S3_Game_Stats[Losses]),"")</f>
        <v/>
      </c>
    </row>
    <row r="27" ht="15.75" customHeight="1">
      <c r="A27" s="32" t="s">
        <v>26</v>
      </c>
      <c r="B27" s="33" t="str">
        <f> IFERROR(SUMIF(S3_Stats[4], A27, S3_Stats[Kills]) / SUMIF(S3_Stats[4], A27, S3_Stats[Deaths]),"")</f>
        <v/>
      </c>
      <c r="C27" s="40" t="str">
        <f> IFERROR(SUMIF(S3_Stats[4], A27, S3_Stats[Total Damage]) / SUMIF(S3_Stats[4], A27, S3_Stats[Kills]),"")</f>
        <v/>
      </c>
      <c r="D27" s="35" t="str">
        <f> IFERROR(SUMIF(S3_Stats[4], A27, S3_Stats[Kills]) / SUMIF(S3_Game_Stats[Name], A27, S3_Game_Stats[Rounds Played]),"")</f>
        <v/>
      </c>
      <c r="E27" s="36" t="str">
        <f> IFERROR(SUMIF(S3_Stats[4], A27, S3_Stats[Assists]) / SUMIF(S3_Game_Stats[Name], A27, S3_Game_Stats[Rounds Played]),"")</f>
        <v/>
      </c>
      <c r="F27" s="37" t="str">
        <f> IFERROR(SUMIF(S3_Stats[4], A27, S3_Stats[Deaths]) / SUMIF(S3_Game_Stats[Name], A27, S3_Game_Stats[Rounds Played]),"")</f>
        <v/>
      </c>
      <c r="G27" s="38" t="str">
        <f> IFERROR((SUMIFS('S3 Regular Season'!B:B, 'S3 Regular Season'!A:A, A27, 'S3 Regular Season'!I:I, 1) + SUMIFS('S3 Regular Season'!L:L, 'S3 Regular Season'!K:K, A27, 'S3 Regular Season'!S:S, 1)) / SUMIF(S3_Game_Stats[Name], A27, S3_Game_Stats[Wins]),"")</f>
        <v/>
      </c>
      <c r="H27" s="39" t="str">
        <f> IFERROR((SUMIFS('S3 Regular Season'!D:D, 'S3 Regular Season'!A:A, A27, 'S3 Regular Season'!I:I, 1) + SUMIFS('S3 Regular Season'!N:N, 'S3 Regular Season'!K:K, A27, 'S3 Regular Season'!S:S, 1)) / SUMIF(S3_Game_Stats[Name], A27, S3_Game_Stats[Wins]),"")</f>
        <v/>
      </c>
      <c r="I27" s="38" t="str">
        <f> IFERROR((SUMIFS('S3 Regular Season'!B:B, 'S3 Regular Season'!A:A, A27, 'S3 Regular Season'!I:I, 0) + SUMIFS('S3 Regular Season'!L:L, 'S3 Regular Season'!K:K, A27, 'S3 Regular Season'!S:S, 0)) / SUMIF(S3_Game_Stats[Name], A27, S3_Game_Stats[Losses]),"")</f>
        <v/>
      </c>
      <c r="J27" s="38" t="str">
        <f> IFERROR((SUMIFS('S3 Regular Season'!D:D, 'S3 Regular Season'!A:A, A27, 'S3 Regular Season'!I:I, 0) + SUMIFS('S3 Regular Season'!N:N, 'S3 Regular Season'!K:K, A27, 'S3 Regular Season'!S:S, 0)) / SUMIF(S3_Game_Stats[Name], A27, S3_Game_Stats[Losses]),"")</f>
        <v/>
      </c>
    </row>
    <row r="28" ht="15.75" customHeight="1">
      <c r="A28" s="32" t="s">
        <v>28</v>
      </c>
      <c r="B28" s="33" t="str">
        <f> IFERROR(SUMIF(S3_Stats[4], A28, S3_Stats[Kills]) / SUMIF(S3_Stats[4], A28, S3_Stats[Deaths]),"")</f>
        <v/>
      </c>
      <c r="C28" s="40" t="str">
        <f> IFERROR(SUMIF(S3_Stats[4], A28, S3_Stats[Total Damage]) / SUMIF(S3_Stats[4], A28, S3_Stats[Kills]),"")</f>
        <v/>
      </c>
      <c r="D28" s="35" t="str">
        <f> IFERROR(SUMIF(S3_Stats[4], A28, S3_Stats[Kills]) / SUMIF(S3_Game_Stats[Name], A28, S3_Game_Stats[Rounds Played]),"")</f>
        <v/>
      </c>
      <c r="E28" s="36" t="str">
        <f> IFERROR(SUMIF(S3_Stats[4], A28, S3_Stats[Assists]) / SUMIF(S3_Game_Stats[Name], A28, S3_Game_Stats[Rounds Played]),"")</f>
        <v/>
      </c>
      <c r="F28" s="37" t="str">
        <f> IFERROR(SUMIF(S3_Stats[4], A28, S3_Stats[Deaths]) / SUMIF(S3_Game_Stats[Name], A28, S3_Game_Stats[Rounds Played]),"")</f>
        <v/>
      </c>
      <c r="G28" s="38" t="str">
        <f> IFERROR((SUMIFS('S3 Regular Season'!B:B, 'S3 Regular Season'!A:A, A28, 'S3 Regular Season'!I:I, 1) + SUMIFS('S3 Regular Season'!L:L, 'S3 Regular Season'!K:K, A28, 'S3 Regular Season'!S:S, 1)) / SUMIF(S3_Game_Stats[Name], A28, S3_Game_Stats[Wins]),"")</f>
        <v/>
      </c>
      <c r="H28" s="39" t="str">
        <f> IFERROR((SUMIFS('S3 Regular Season'!D:D, 'S3 Regular Season'!A:A, A28, 'S3 Regular Season'!I:I, 1) + SUMIFS('S3 Regular Season'!N:N, 'S3 Regular Season'!K:K, A28, 'S3 Regular Season'!S:S, 1)) / SUMIF(S3_Game_Stats[Name], A28, S3_Game_Stats[Wins]),"")</f>
        <v/>
      </c>
      <c r="I28" s="38" t="str">
        <f> IFERROR((SUMIFS('S3 Regular Season'!B:B, 'S3 Regular Season'!A:A, A28, 'S3 Regular Season'!I:I, 0) + SUMIFS('S3 Regular Season'!L:L, 'S3 Regular Season'!K:K, A28, 'S3 Regular Season'!S:S, 0)) / SUMIF(S3_Game_Stats[Name], A28, S3_Game_Stats[Losses]),"")</f>
        <v/>
      </c>
      <c r="J28" s="38" t="str">
        <f> IFERROR((SUMIFS('S3 Regular Season'!D:D, 'S3 Regular Season'!A:A, A28, 'S3 Regular Season'!I:I, 0) + SUMIFS('S3 Regular Season'!N:N, 'S3 Regular Season'!K:K, A28, 'S3 Regular Season'!S:S, 0)) / SUMIF(S3_Game_Stats[Name], A28, S3_Game_Stats[Losses]),"")</f>
        <v/>
      </c>
    </row>
    <row r="29" ht="15.75" customHeight="1">
      <c r="A29" s="32" t="s">
        <v>30</v>
      </c>
      <c r="B29" s="33" t="str">
        <f> IFERROR(SUMIF(S3_Stats[4], A29, S3_Stats[Kills]) / SUMIF(S3_Stats[4], A29, S3_Stats[Deaths]),"")</f>
        <v/>
      </c>
      <c r="C29" s="34" t="str">
        <f> IFERROR(SUMIF(S3_Stats[4], A29, S3_Stats[Total Damage]) / SUMIF(S3_Stats[4], A29, S3_Stats[Kills]),"")</f>
        <v/>
      </c>
      <c r="D29" s="35" t="str">
        <f> IFERROR(SUMIF(S3_Stats[4], A29, S3_Stats[Kills]) / SUMIF(S3_Game_Stats[Name], A29, S3_Game_Stats[Rounds Played]),"")</f>
        <v/>
      </c>
      <c r="E29" s="36" t="str">
        <f> IFERROR(SUMIF(S3_Stats[4], A29, S3_Stats[Assists]) / SUMIF(S3_Game_Stats[Name], A29, S3_Game_Stats[Rounds Played]),"")</f>
        <v/>
      </c>
      <c r="F29" s="36" t="str">
        <f> IFERROR(SUMIF(S3_Stats[4], A29, S3_Stats[Deaths]) / SUMIF(S3_Game_Stats[Name], A29, S3_Game_Stats[Rounds Played]),"")</f>
        <v/>
      </c>
      <c r="G29" s="38" t="str">
        <f> IFERROR((SUMIFS('S3 Regular Season'!B:B, 'S3 Regular Season'!A:A, A29, 'S3 Regular Season'!I:I, 1) + SUMIFS('S3 Regular Season'!L:L, 'S3 Regular Season'!K:K, A29, 'S3 Regular Season'!S:S, 1)) / SUMIF(S3_Game_Stats[Name], A29, S3_Game_Stats[Wins]),"")</f>
        <v/>
      </c>
      <c r="H29" s="39" t="str">
        <f> IFERROR((SUMIFS('S3 Regular Season'!D:D, 'S3 Regular Season'!A:A, A29, 'S3 Regular Season'!I:I, 1) + SUMIFS('S3 Regular Season'!N:N, 'S3 Regular Season'!K:K, A29, 'S3 Regular Season'!S:S, 1)) / SUMIF(S3_Game_Stats[Name], A29, S3_Game_Stats[Wins]),"")</f>
        <v/>
      </c>
      <c r="I29" s="38" t="str">
        <f> IFERROR((SUMIFS('S3 Regular Season'!B:B, 'S3 Regular Season'!A:A, A29, 'S3 Regular Season'!I:I, 0) + SUMIFS('S3 Regular Season'!L:L, 'S3 Regular Season'!K:K, A29, 'S3 Regular Season'!S:S, 0)) / SUMIF(S3_Game_Stats[Name], A29, S3_Game_Stats[Losses]),"")</f>
        <v/>
      </c>
      <c r="J29" s="38" t="str">
        <f> IFERROR((SUMIFS('S3 Regular Season'!D:D, 'S3 Regular Season'!A:A, A29, 'S3 Regular Season'!I:I, 0) + SUMIFS('S3 Regular Season'!N:N, 'S3 Regular Season'!K:K, A29, 'S3 Regular Season'!S:S, 0)) / SUMIF(S3_Game_Stats[Name], A29, S3_Game_Stats[Losses]),"")</f>
        <v/>
      </c>
    </row>
    <row r="30" ht="15.75" customHeight="1">
      <c r="A30" s="32" t="s">
        <v>31</v>
      </c>
      <c r="B30" s="33" t="str">
        <f> IFERROR(SUMIF(S3_Stats[4], A30, S3_Stats[Kills]) / SUMIF(S3_Stats[4], A30, S3_Stats[Deaths]),"")</f>
        <v/>
      </c>
      <c r="C30" s="34" t="str">
        <f> IFERROR(SUMIF(S3_Stats[4], A30, S3_Stats[Total Damage]) / SUMIF(S3_Stats[4], A30, S3_Stats[Kills]),"")</f>
        <v/>
      </c>
      <c r="D30" s="35" t="str">
        <f> IFERROR(SUMIF(S3_Stats[4], A30, S3_Stats[Kills]) / SUMIF(S3_Game_Stats[Name], A30, S3_Game_Stats[Rounds Played]),"")</f>
        <v/>
      </c>
      <c r="E30" s="36" t="str">
        <f> IFERROR(SUMIF(S3_Stats[4], A30, S3_Stats[Assists]) / SUMIF(S3_Game_Stats[Name], A30, S3_Game_Stats[Rounds Played]),"")</f>
        <v/>
      </c>
      <c r="F30" s="36" t="str">
        <f> IFERROR(SUMIF(S3_Stats[4], A30, S3_Stats[Deaths]) / SUMIF(S3_Game_Stats[Name], A30, S3_Game_Stats[Rounds Played]),"")</f>
        <v/>
      </c>
      <c r="G30" s="38" t="str">
        <f> IFERROR((SUMIFS('S3 Regular Season'!B:B, 'S3 Regular Season'!A:A, A30, 'S3 Regular Season'!I:I, 1) + SUMIFS('S3 Regular Season'!L:L, 'S3 Regular Season'!K:K, A30, 'S3 Regular Season'!S:S, 1)) / SUMIF(S3_Game_Stats[Name], A30, S3_Game_Stats[Wins]),"")</f>
        <v/>
      </c>
      <c r="H30" s="39" t="str">
        <f> IFERROR((SUMIFS('S3 Regular Season'!D:D, 'S3 Regular Season'!A:A, A30, 'S3 Regular Season'!I:I, 1) + SUMIFS('S3 Regular Season'!N:N, 'S3 Regular Season'!K:K, A30, 'S3 Regular Season'!S:S, 1)) / SUMIF(S3_Game_Stats[Name], A30, S3_Game_Stats[Wins]),"")</f>
        <v/>
      </c>
      <c r="I30" s="38" t="str">
        <f> IFERROR((SUMIFS('S3 Regular Season'!B:B, 'S3 Regular Season'!A:A, A30, 'S3 Regular Season'!I:I, 0) + SUMIFS('S3 Regular Season'!L:L, 'S3 Regular Season'!K:K, A30, 'S3 Regular Season'!S:S, 0)) / SUMIF(S3_Game_Stats[Name], A30, S3_Game_Stats[Losses]),"")</f>
        <v/>
      </c>
      <c r="J30" s="38" t="str">
        <f> IFERROR((SUMIFS('S3 Regular Season'!D:D, 'S3 Regular Season'!A:A, A30, 'S3 Regular Season'!I:I, 0) + SUMIFS('S3 Regular Season'!N:N, 'S3 Regular Season'!K:K, A30, 'S3 Regular Season'!S:S, 0)) / SUMIF(S3_Game_Stats[Name], A30, S3_Game_Stats[Losses]),"")</f>
        <v/>
      </c>
    </row>
    <row r="31" ht="15.75" customHeight="1"/>
    <row r="32" ht="15.75" customHeight="1"/>
    <row r="33" ht="15.75" customHeight="1">
      <c r="A33" s="41" t="s">
        <v>32</v>
      </c>
      <c r="B33" s="28" t="s">
        <v>41</v>
      </c>
      <c r="C33" s="42" t="s">
        <v>42</v>
      </c>
      <c r="D33" s="27" t="s">
        <v>43</v>
      </c>
      <c r="E33" s="28" t="s">
        <v>44</v>
      </c>
      <c r="F33" s="28" t="s">
        <v>45</v>
      </c>
      <c r="G33" s="29" t="s">
        <v>46</v>
      </c>
      <c r="H33" s="28" t="s">
        <v>47</v>
      </c>
      <c r="I33" s="29" t="s">
        <v>48</v>
      </c>
      <c r="L33" s="4" t="s">
        <v>49</v>
      </c>
      <c r="M33" s="4" t="s">
        <v>50</v>
      </c>
      <c r="N33" s="2" t="s">
        <v>51</v>
      </c>
      <c r="O33" s="2" t="s">
        <v>52</v>
      </c>
    </row>
    <row r="34" ht="15.75" customHeight="1">
      <c r="A34" s="32" t="s">
        <v>10</v>
      </c>
      <c r="B34" s="43">
        <f>COUNTIFS('S3 Regular Season'!A:A, A34, 'S3 Regular Season'!I:I, "&lt;&gt;") + COUNTIFS('S3 Regular Season'!K:K, A34, 'S3 Regular Season'!S:S, "&lt;&gt;")</f>
        <v>0</v>
      </c>
      <c r="C34" s="44">
        <f>SUMIF('S3 Regular Season'!A:A, A34, 'S3 Regular Season'!I:I) + SUMIF('S3 Regular Season'!K:K, A34, 'S3 Regular Season'!S:S)</f>
        <v>0</v>
      </c>
      <c r="D34" s="45">
        <f> SUMIF(S3_Game_Stats[Name], A34, S3_Game_Stats[Games]) - SUMIF(S3_Game_Stats[Name], A34, S3_Game_Stats[Wins])</f>
        <v>0</v>
      </c>
      <c r="E34" s="46" t="str">
        <f> IFERROR(SUMIF(S3_Game_Stats[Name], A34, S3_Game_Stats[Wins]) / SUMIF(S3_Game_Stats[Name], A34, S3_Game_Stats[Games]),"")</f>
        <v/>
      </c>
      <c r="F34" s="47" t="str">
        <f> IFERROR(SUMIF(S3_Game_Stats[Name], A34, S3_Game_Stats[Rounds Won]) / SUMIF(S3_Game_Stats[Name], A34, S3_Game_Stats[Rounds Played]),"")</f>
        <v/>
      </c>
      <c r="G34" s="44">
        <f> SUMIF('S3 Regular Season'!A:A, A34, 'S3 Regular Season'!H:H) + SUMIF('S3 Regular Season'!K:K, A34, 'S3 Regular Season'!R:R)</f>
        <v>0</v>
      </c>
      <c r="H34" s="48">
        <f> SUMIF(S3_Game_Stats[Name], A34, S3_Game_Stats[Rounds Played]) - SUMIF(S3_Game_Stats[Name], A34, S3_Game_Stats[Rounds Won])</f>
        <v>0</v>
      </c>
      <c r="I34" s="44">
        <f> SUMIF('S3 Regular Season'!A:A, A34, 'S3 Regular Season'!G:G) + SUMIF('S3 Regular Season'!K:K, A34, 'S3 Regular Season'!Q:Q)</f>
        <v>0</v>
      </c>
      <c r="K34" s="49" t="s">
        <v>53</v>
      </c>
      <c r="L34" s="50">
        <v>1.0</v>
      </c>
      <c r="M34" s="6" t="str">
        <f t="array" ref="M34:M46">SORT(S3_Game_Stats[Name],S3_Game_Stats[WR %],false,S3_Game_Stats[Round WR %],false)</f>
        <v>Adam</v>
      </c>
      <c r="N34" s="51" t="str">
        <f t="array" ref="N34:N46">SORT(S3_Game_Stats[WR %],S3_Game_Stats[WR %],false,S3_Game_Stats[Round WR %],false)</f>
        <v/>
      </c>
      <c r="O34" s="52" t="str">
        <f t="array" ref="O34:O46">SORT(S3_Game_Stats[Round WR %],S3_Game_Stats[WR %],false,S3_Game_Stats[Round WR %],false)</f>
        <v/>
      </c>
    </row>
    <row r="35" ht="15.75" customHeight="1">
      <c r="A35" s="32" t="s">
        <v>11</v>
      </c>
      <c r="B35" s="43">
        <f>COUNTIFS('S3 Regular Season'!A:A, A35, 'S3 Regular Season'!I:I, "&lt;&gt;") + COUNTIFS('S3 Regular Season'!K:K, A35, 'S3 Regular Season'!S:S, "&lt;&gt;")</f>
        <v>0</v>
      </c>
      <c r="C35" s="44">
        <f>SUMIF('S3 Regular Season'!A:A, A35, 'S3 Regular Season'!I:I) + SUMIF('S3 Regular Season'!K:K, A35, 'S3 Regular Season'!S:S)</f>
        <v>0</v>
      </c>
      <c r="D35" s="45">
        <f> SUMIF(S3_Game_Stats[Name], A35, S3_Game_Stats[Games]) - SUMIF(S3_Game_Stats[Name], A35, S3_Game_Stats[Wins])</f>
        <v>0</v>
      </c>
      <c r="E35" s="46" t="str">
        <f> IFERROR(SUMIF(S3_Game_Stats[Name], A35, S3_Game_Stats[Wins]) / SUMIF(S3_Game_Stats[Name], A35, S3_Game_Stats[Games]),"")</f>
        <v/>
      </c>
      <c r="F35" s="47" t="str">
        <f> IFERROR(SUMIF(S3_Game_Stats[Name], A35, S3_Game_Stats[Rounds Won]) / SUMIF(S3_Game_Stats[Name], A35, S3_Game_Stats[Rounds Played]),"")</f>
        <v/>
      </c>
      <c r="G35" s="44">
        <f> SUMIF('S3 Regular Season'!A:A, A35, 'S3 Regular Season'!H:H) + SUMIF('S3 Regular Season'!K:K, A35, 'S3 Regular Season'!R:R)</f>
        <v>0</v>
      </c>
      <c r="H35" s="48">
        <f> SUMIF(S3_Game_Stats[Name], A35, S3_Game_Stats[Rounds Played]) - SUMIF(S3_Game_Stats[Name], A35, S3_Game_Stats[Rounds Won])</f>
        <v>0</v>
      </c>
      <c r="I35" s="44">
        <f> SUMIF('S3 Regular Season'!A:A, A35, 'S3 Regular Season'!G:G) + SUMIF('S3 Regular Season'!K:K, A35, 'S3 Regular Season'!Q:Q)</f>
        <v>0</v>
      </c>
      <c r="L35" s="50">
        <v>2.0</v>
      </c>
      <c r="M35" s="6" t="s">
        <v>11</v>
      </c>
      <c r="N35" s="51"/>
      <c r="O35" s="52"/>
    </row>
    <row r="36" ht="15.75" customHeight="1">
      <c r="A36" s="32" t="s">
        <v>12</v>
      </c>
      <c r="B36" s="43">
        <f>COUNTIFS('S3 Regular Season'!A:A, A36, 'S3 Regular Season'!I:I, "&lt;&gt;") + COUNTIFS('S3 Regular Season'!K:K, A36, 'S3 Regular Season'!S:S, "&lt;&gt;")</f>
        <v>0</v>
      </c>
      <c r="C36" s="44">
        <f>SUMIF('S3 Regular Season'!A:A, A36, 'S3 Regular Season'!I:I) + SUMIF('S3 Regular Season'!K:K, A36, 'S3 Regular Season'!S:S)</f>
        <v>0</v>
      </c>
      <c r="D36" s="45">
        <f> SUMIF(S3_Game_Stats[Name], A36, S3_Game_Stats[Games]) - SUMIF(S3_Game_Stats[Name], A36, S3_Game_Stats[Wins])</f>
        <v>0</v>
      </c>
      <c r="E36" s="46" t="str">
        <f> IFERROR(SUMIF(S3_Game_Stats[Name], A36, S3_Game_Stats[Wins]) / SUMIF(S3_Game_Stats[Name], A36, S3_Game_Stats[Games]),"")</f>
        <v/>
      </c>
      <c r="F36" s="47" t="str">
        <f> IFERROR(SUMIF(S3_Game_Stats[Name], A36, S3_Game_Stats[Rounds Won]) / SUMIF(S3_Game_Stats[Name], A36, S3_Game_Stats[Rounds Played]),"")</f>
        <v/>
      </c>
      <c r="G36" s="44">
        <f> SUMIF('S3 Regular Season'!A:A, A36, 'S3 Regular Season'!H:H) + SUMIF('S3 Regular Season'!K:K, A36, 'S3 Regular Season'!R:R)</f>
        <v>0</v>
      </c>
      <c r="H36" s="48">
        <f> SUMIF(S3_Game_Stats[Name], A36, S3_Game_Stats[Rounds Played]) - SUMIF(S3_Game_Stats[Name], A36, S3_Game_Stats[Rounds Won])</f>
        <v>0</v>
      </c>
      <c r="I36" s="44">
        <f> SUMIF('S3 Regular Season'!A:A, A36, 'S3 Regular Season'!G:G) + SUMIF('S3 Regular Season'!K:K, A36, 'S3 Regular Season'!Q:Q)</f>
        <v>0</v>
      </c>
      <c r="L36" s="10">
        <v>3.0</v>
      </c>
      <c r="M36" s="6" t="s">
        <v>12</v>
      </c>
      <c r="N36" s="51"/>
      <c r="O36" s="52"/>
    </row>
    <row r="37" ht="15.75" customHeight="1">
      <c r="A37" s="32" t="s">
        <v>14</v>
      </c>
      <c r="B37" s="43">
        <f>COUNTIFS('S3 Regular Season'!A:A, A37, 'S3 Regular Season'!I:I, "&lt;&gt;") + COUNTIFS('S3 Regular Season'!K:K, A37, 'S3 Regular Season'!S:S, "&lt;&gt;")</f>
        <v>0</v>
      </c>
      <c r="C37" s="44">
        <f>SUMIF('S3 Regular Season'!A:A, A37, 'S3 Regular Season'!I:I) + SUMIF('S3 Regular Season'!K:K, A37, 'S3 Regular Season'!S:S)</f>
        <v>0</v>
      </c>
      <c r="D37" s="45">
        <f> SUMIF(S3_Game_Stats[Name], A37, S3_Game_Stats[Games]) - SUMIF(S3_Game_Stats[Name], A37, S3_Game_Stats[Wins])</f>
        <v>0</v>
      </c>
      <c r="E37" s="46" t="str">
        <f> IFERROR(SUMIF(S3_Game_Stats[Name], A37, S3_Game_Stats[Wins]) / SUMIF(S3_Game_Stats[Name], A37, S3_Game_Stats[Games]),"")</f>
        <v/>
      </c>
      <c r="F37" s="47" t="str">
        <f> IFERROR(SUMIF(S3_Game_Stats[Name], A37, S3_Game_Stats[Rounds Won]) / SUMIF(S3_Game_Stats[Name], A37, S3_Game_Stats[Rounds Played]),"")</f>
        <v/>
      </c>
      <c r="G37" s="44">
        <f> SUMIF('S3 Regular Season'!A:A, A37, 'S3 Regular Season'!H:H) + SUMIF('S3 Regular Season'!K:K, A37, 'S3 Regular Season'!R:R)</f>
        <v>0</v>
      </c>
      <c r="H37" s="48">
        <f> SUMIF(S3_Game_Stats[Name], A37, S3_Game_Stats[Rounds Played]) - SUMIF(S3_Game_Stats[Name], A37, S3_Game_Stats[Rounds Won])</f>
        <v>0</v>
      </c>
      <c r="I37" s="44">
        <f> SUMIF('S3 Regular Season'!A:A, A37, 'S3 Regular Season'!G:G) + SUMIF('S3 Regular Season'!K:K, A37, 'S3 Regular Season'!Q:Q)</f>
        <v>0</v>
      </c>
      <c r="L37" s="10">
        <v>4.0</v>
      </c>
      <c r="M37" s="6" t="s">
        <v>14</v>
      </c>
      <c r="N37" s="51"/>
      <c r="O37" s="52"/>
    </row>
    <row r="38" ht="15.75" customHeight="1">
      <c r="A38" s="32" t="s">
        <v>16</v>
      </c>
      <c r="B38" s="43">
        <f>COUNTIFS('S3 Regular Season'!A:A, A38, 'S3 Regular Season'!I:I, "&lt;&gt;") + COUNTIFS('S3 Regular Season'!K:K, A38, 'S3 Regular Season'!S:S, "&lt;&gt;")</f>
        <v>0</v>
      </c>
      <c r="C38" s="44">
        <f>SUMIF('S3 Regular Season'!A:A, A38, 'S3 Regular Season'!I:I) + SUMIF('S3 Regular Season'!K:K, A38, 'S3 Regular Season'!S:S)</f>
        <v>0</v>
      </c>
      <c r="D38" s="45">
        <f> SUMIF(S3_Game_Stats[Name], A38, S3_Game_Stats[Games]) - SUMIF(S3_Game_Stats[Name], A38, S3_Game_Stats[Wins])</f>
        <v>0</v>
      </c>
      <c r="E38" s="46" t="str">
        <f> IFERROR(SUMIF(S3_Game_Stats[Name], A38, S3_Game_Stats[Wins]) / SUMIF(S3_Game_Stats[Name], A38, S3_Game_Stats[Games]),"")</f>
        <v/>
      </c>
      <c r="F38" s="47" t="str">
        <f> IFERROR(SUMIF(S3_Game_Stats[Name], A38, S3_Game_Stats[Rounds Won]) / SUMIF(S3_Game_Stats[Name], A38, S3_Game_Stats[Rounds Played]),"")</f>
        <v/>
      </c>
      <c r="G38" s="44">
        <f> SUMIF('S3 Regular Season'!A:A, A38, 'S3 Regular Season'!H:H) + SUMIF('S3 Regular Season'!K:K, A38, 'S3 Regular Season'!R:R)</f>
        <v>0</v>
      </c>
      <c r="H38" s="48">
        <f> SUMIF(S3_Game_Stats[Name], A38, S3_Game_Stats[Rounds Played]) - SUMIF(S3_Game_Stats[Name], A38, S3_Game_Stats[Rounds Won])</f>
        <v>0</v>
      </c>
      <c r="I38" s="44">
        <f> SUMIF('S3 Regular Season'!A:A, A38, 'S3 Regular Season'!G:G) + SUMIF('S3 Regular Season'!K:K, A38, 'S3 Regular Season'!Q:Q)</f>
        <v>0</v>
      </c>
      <c r="L38" s="10">
        <v>5.0</v>
      </c>
      <c r="M38" s="6" t="s">
        <v>16</v>
      </c>
      <c r="N38" s="51"/>
      <c r="O38" s="52"/>
    </row>
    <row r="39" ht="15.75" customHeight="1">
      <c r="A39" s="32" t="s">
        <v>18</v>
      </c>
      <c r="B39" s="43">
        <f>COUNTIFS('S3 Regular Season'!A:A, A39, 'S3 Regular Season'!I:I, "&lt;&gt;") + COUNTIFS('S3 Regular Season'!K:K, A39, 'S3 Regular Season'!S:S, "&lt;&gt;")</f>
        <v>0</v>
      </c>
      <c r="C39" s="53">
        <f>SUMIF('S3 Regular Season'!A:A, A39, 'S3 Regular Season'!I:I) + SUMIF('S3 Regular Season'!K:K, A39, 'S3 Regular Season'!S:S)</f>
        <v>0</v>
      </c>
      <c r="D39" s="45">
        <f> SUMIF(S3_Game_Stats[Name], A39, S3_Game_Stats[Games]) - SUMIF(S3_Game_Stats[Name], A39, S3_Game_Stats[Wins])</f>
        <v>0</v>
      </c>
      <c r="E39" s="46" t="str">
        <f> IFERROR(SUMIF(S3_Game_Stats[Name], A39, S3_Game_Stats[Wins]) / SUMIF(S3_Game_Stats[Name], A39, S3_Game_Stats[Games]),"")</f>
        <v/>
      </c>
      <c r="F39" s="47" t="str">
        <f> IFERROR(SUMIF(S3_Game_Stats[Name], A39, S3_Game_Stats[Rounds Won]) / SUMIF(S3_Game_Stats[Name], A39, S3_Game_Stats[Rounds Played]),"")</f>
        <v/>
      </c>
      <c r="G39" s="44">
        <f> SUMIF('S3 Regular Season'!A:A, A39, 'S3 Regular Season'!H:H) + SUMIF('S3 Regular Season'!K:K, A39, 'S3 Regular Season'!R:R)</f>
        <v>0</v>
      </c>
      <c r="H39" s="48">
        <f> SUMIF(S3_Game_Stats[Name], A39, S3_Game_Stats[Rounds Played]) - SUMIF(S3_Game_Stats[Name], A39, S3_Game_Stats[Rounds Won])</f>
        <v>0</v>
      </c>
      <c r="I39" s="44">
        <f> SUMIF('S3 Regular Season'!A:A, A39, 'S3 Regular Season'!G:G) + SUMIF('S3 Regular Season'!K:K, A39, 'S3 Regular Season'!Q:Q)</f>
        <v>0</v>
      </c>
      <c r="L39" s="10">
        <v>6.0</v>
      </c>
      <c r="M39" s="6" t="s">
        <v>18</v>
      </c>
      <c r="N39" s="51"/>
      <c r="O39" s="52"/>
    </row>
    <row r="40" ht="15.75" customHeight="1">
      <c r="A40" s="32" t="s">
        <v>20</v>
      </c>
      <c r="B40" s="43">
        <f>COUNTIFS('S3 Regular Season'!A:A, A40, 'S3 Regular Season'!I:I, "&lt;&gt;") + COUNTIFS('S3 Regular Season'!K:K, A40, 'S3 Regular Season'!S:S, "&lt;&gt;")</f>
        <v>0</v>
      </c>
      <c r="C40" s="44">
        <f>SUMIF('S3 Regular Season'!A:A, A40, 'S3 Regular Season'!I:I) + SUMIF('S3 Regular Season'!K:K, A40, 'S3 Regular Season'!S:S)</f>
        <v>0</v>
      </c>
      <c r="D40" s="45">
        <f> SUMIF(S3_Game_Stats[Name], A40, S3_Game_Stats[Games]) - SUMIF(S3_Game_Stats[Name], A40, S3_Game_Stats[Wins])</f>
        <v>0</v>
      </c>
      <c r="E40" s="46" t="str">
        <f> IFERROR(SUMIF(S3_Game_Stats[Name], A40, S3_Game_Stats[Wins]) / SUMIF(S3_Game_Stats[Name], A40, S3_Game_Stats[Games]),"")</f>
        <v/>
      </c>
      <c r="F40" s="47" t="str">
        <f> IFERROR(SUMIF(S3_Game_Stats[Name], A40, S3_Game_Stats[Rounds Won]) / SUMIF(S3_Game_Stats[Name], A40, S3_Game_Stats[Rounds Played]),"")</f>
        <v/>
      </c>
      <c r="G40" s="44">
        <f> SUMIF('S3 Regular Season'!A:A, A40, 'S3 Regular Season'!H:H) + SUMIF('S3 Regular Season'!K:K, A40, 'S3 Regular Season'!R:R)</f>
        <v>0</v>
      </c>
      <c r="H40" s="48">
        <f> SUMIF(S3_Game_Stats[Name], A40, S3_Game_Stats[Rounds Played]) - SUMIF(S3_Game_Stats[Name], A40, S3_Game_Stats[Rounds Won])</f>
        <v>0</v>
      </c>
      <c r="I40" s="44">
        <f> SUMIF('S3 Regular Season'!A:A, A40, 'S3 Regular Season'!G:G) + SUMIF('S3 Regular Season'!K:K, A40, 'S3 Regular Season'!Q:Q)</f>
        <v>0</v>
      </c>
      <c r="L40" s="10">
        <v>7.0</v>
      </c>
      <c r="M40" s="6" t="s">
        <v>20</v>
      </c>
      <c r="N40" s="51"/>
      <c r="O40" s="52"/>
    </row>
    <row r="41" ht="15.75" customHeight="1">
      <c r="A41" s="32" t="s">
        <v>22</v>
      </c>
      <c r="B41" s="43">
        <f>COUNTIFS('S3 Regular Season'!A:A, A41, 'S3 Regular Season'!I:I, "&lt;&gt;") + COUNTIFS('S3 Regular Season'!K:K, A41, 'S3 Regular Season'!S:S, "&lt;&gt;")</f>
        <v>0</v>
      </c>
      <c r="C41" s="44">
        <f>SUMIF('S3 Regular Season'!A:A, A41, 'S3 Regular Season'!I:I) + SUMIF('S3 Regular Season'!K:K, A41, 'S3 Regular Season'!S:S)</f>
        <v>0</v>
      </c>
      <c r="D41" s="45">
        <f> SUMIF(S3_Game_Stats[Name], A41, S3_Game_Stats[Games]) - SUMIF(S3_Game_Stats[Name], A41, S3_Game_Stats[Wins])</f>
        <v>0</v>
      </c>
      <c r="E41" s="46" t="str">
        <f> IFERROR(SUMIF(S3_Game_Stats[Name], A41, S3_Game_Stats[Wins]) / SUMIF(S3_Game_Stats[Name], A41, S3_Game_Stats[Games]),"")</f>
        <v/>
      </c>
      <c r="F41" s="47" t="str">
        <f> IFERROR(SUMIF(S3_Game_Stats[Name], A41, S3_Game_Stats[Rounds Won]) / SUMIF(S3_Game_Stats[Name], A41, S3_Game_Stats[Rounds Played]),"")</f>
        <v/>
      </c>
      <c r="G41" s="44">
        <f> SUMIF('S3 Regular Season'!A:A, A41, 'S3 Regular Season'!H:H) + SUMIF('S3 Regular Season'!K:K, A41, 'S3 Regular Season'!R:R)</f>
        <v>0</v>
      </c>
      <c r="H41" s="48">
        <f> SUMIF(S3_Game_Stats[Name], A41, S3_Game_Stats[Rounds Played]) - SUMIF(S3_Game_Stats[Name], A41, S3_Game_Stats[Rounds Won])</f>
        <v>0</v>
      </c>
      <c r="I41" s="44">
        <f> SUMIF('S3 Regular Season'!A:A, A41, 'S3 Regular Season'!G:G) + SUMIF('S3 Regular Season'!K:K, A41, 'S3 Regular Season'!Q:Q)</f>
        <v>0</v>
      </c>
      <c r="L41" s="10">
        <v>8.0</v>
      </c>
      <c r="M41" s="6" t="s">
        <v>22</v>
      </c>
      <c r="N41" s="51"/>
      <c r="O41" s="52"/>
    </row>
    <row r="42" ht="15.75" customHeight="1">
      <c r="A42" s="32" t="s">
        <v>24</v>
      </c>
      <c r="B42" s="43">
        <f>COUNTIFS('S3 Regular Season'!A:A, A42, 'S3 Regular Season'!I:I, "&lt;&gt;") + COUNTIFS('S3 Regular Season'!K:K, A42, 'S3 Regular Season'!S:S, "&lt;&gt;")</f>
        <v>0</v>
      </c>
      <c r="C42" s="53">
        <f>SUMIF('S3 Regular Season'!A:A, A42, 'S3 Regular Season'!I:I) + SUMIF('S3 Regular Season'!K:K, A42, 'S3 Regular Season'!S:S)</f>
        <v>0</v>
      </c>
      <c r="D42" s="45">
        <f> SUMIF(S3_Game_Stats[Name], A42, S3_Game_Stats[Games]) - SUMIF(S3_Game_Stats[Name], A42, S3_Game_Stats[Wins])</f>
        <v>0</v>
      </c>
      <c r="E42" s="46" t="str">
        <f> IFERROR(SUMIF(S3_Game_Stats[Name], A42, S3_Game_Stats[Wins]) / SUMIF(S3_Game_Stats[Name], A42, S3_Game_Stats[Games]),"")</f>
        <v/>
      </c>
      <c r="F42" s="47" t="str">
        <f> IFERROR(SUMIF(S3_Game_Stats[Name], A42, S3_Game_Stats[Rounds Won]) / SUMIF(S3_Game_Stats[Name], A42, S3_Game_Stats[Rounds Played]),"")</f>
        <v/>
      </c>
      <c r="G42" s="44">
        <f> SUMIF('S3 Regular Season'!A:A, A42, 'S3 Regular Season'!H:H) + SUMIF('S3 Regular Season'!K:K, A42, 'S3 Regular Season'!R:R)</f>
        <v>0</v>
      </c>
      <c r="H42" s="48">
        <f> SUMIF(S3_Game_Stats[Name], A42, S3_Game_Stats[Rounds Played]) - SUMIF(S3_Game_Stats[Name], A42, S3_Game_Stats[Rounds Won])</f>
        <v>0</v>
      </c>
      <c r="I42" s="44">
        <f> SUMIF('S3 Regular Season'!A:A, A42, 'S3 Regular Season'!G:G) + SUMIF('S3 Regular Season'!K:K, A42, 'S3 Regular Season'!Q:Q)</f>
        <v>0</v>
      </c>
      <c r="L42" s="10">
        <v>9.0</v>
      </c>
      <c r="M42" s="6" t="s">
        <v>24</v>
      </c>
      <c r="N42" s="51"/>
      <c r="O42" s="52"/>
    </row>
    <row r="43" ht="15.75" customHeight="1">
      <c r="A43" s="32" t="s">
        <v>26</v>
      </c>
      <c r="B43" s="43">
        <f>COUNTIFS('S3 Regular Season'!A:A, A43, 'S3 Regular Season'!I:I, "&lt;&gt;") + COUNTIFS('S3 Regular Season'!K:K, A43, 'S3 Regular Season'!S:S, "&lt;&gt;")</f>
        <v>0</v>
      </c>
      <c r="C43" s="53">
        <f>SUMIF('S3 Regular Season'!A:A, A43, 'S3 Regular Season'!I:I) + SUMIF('S3 Regular Season'!K:K, A43, 'S3 Regular Season'!S:S)</f>
        <v>0</v>
      </c>
      <c r="D43" s="45">
        <f> SUMIF(S3_Game_Stats[Name], A43, S3_Game_Stats[Games]) - SUMIF(S3_Game_Stats[Name], A43, S3_Game_Stats[Wins])</f>
        <v>0</v>
      </c>
      <c r="E43" s="46" t="str">
        <f> IFERROR(SUMIF(S3_Game_Stats[Name], A43, S3_Game_Stats[Wins]) / SUMIF(S3_Game_Stats[Name], A43, S3_Game_Stats[Games]),"")</f>
        <v/>
      </c>
      <c r="F43" s="47" t="str">
        <f> IFERROR(SUMIF(S3_Game_Stats[Name], A43, S3_Game_Stats[Rounds Won]) / SUMIF(S3_Game_Stats[Name], A43, S3_Game_Stats[Rounds Played]),"")</f>
        <v/>
      </c>
      <c r="G43" s="44">
        <f> SUMIF('S3 Regular Season'!A:A, A43, 'S3 Regular Season'!H:H) + SUMIF('S3 Regular Season'!K:K, A43, 'S3 Regular Season'!R:R)</f>
        <v>0</v>
      </c>
      <c r="H43" s="48">
        <f> SUMIF(S3_Game_Stats[Name], A43, S3_Game_Stats[Rounds Played]) - SUMIF(S3_Game_Stats[Name], A43, S3_Game_Stats[Rounds Won])</f>
        <v>0</v>
      </c>
      <c r="I43" s="44">
        <f> SUMIF('S3 Regular Season'!A:A, A43, 'S3 Regular Season'!G:G) + SUMIF('S3 Regular Season'!K:K, A43, 'S3 Regular Season'!Q:Q)</f>
        <v>0</v>
      </c>
      <c r="K43" s="54" t="s">
        <v>54</v>
      </c>
      <c r="L43" s="55">
        <v>10.0</v>
      </c>
      <c r="M43" s="6" t="s">
        <v>26</v>
      </c>
      <c r="N43" s="51"/>
      <c r="O43" s="52"/>
    </row>
    <row r="44" ht="22.5" customHeight="1">
      <c r="A44" s="32" t="s">
        <v>28</v>
      </c>
      <c r="B44" s="43">
        <f>COUNTIFS('S3 Regular Season'!A:A, A44, 'S3 Regular Season'!I:I, "&lt;&gt;") + COUNTIFS('S3 Regular Season'!K:K, A44, 'S3 Regular Season'!S:S, "&lt;&gt;")</f>
        <v>0</v>
      </c>
      <c r="C44" s="44">
        <f>SUMIF('S3 Regular Season'!A:A, A44, 'S3 Regular Season'!I:I) + SUMIF('S3 Regular Season'!K:K, A44, 'S3 Regular Season'!S:S)</f>
        <v>0</v>
      </c>
      <c r="D44" s="45">
        <f> SUMIF(S3_Game_Stats[Name], A44, S3_Game_Stats[Games]) - SUMIF(S3_Game_Stats[Name], A44, S3_Game_Stats[Wins])</f>
        <v>0</v>
      </c>
      <c r="E44" s="46" t="str">
        <f> IFERROR(SUMIF(S3_Game_Stats[Name], A44, S3_Game_Stats[Wins]) / SUMIF(S3_Game_Stats[Name], A44, S3_Game_Stats[Games]),"")</f>
        <v/>
      </c>
      <c r="F44" s="47" t="str">
        <f> IFERROR(SUMIF(S3_Game_Stats[Name], A44, S3_Game_Stats[Rounds Won]) / SUMIF(S3_Game_Stats[Name], A44, S3_Game_Stats[Rounds Played]),"")</f>
        <v/>
      </c>
      <c r="G44" s="44">
        <f> SUMIF('S3 Regular Season'!A:A, A44, 'S3 Regular Season'!H:H) + SUMIF('S3 Regular Season'!K:K, A44, 'S3 Regular Season'!R:R)</f>
        <v>0</v>
      </c>
      <c r="H44" s="48">
        <f> SUMIF(S3_Game_Stats[Name], A44, S3_Game_Stats[Rounds Played]) - SUMIF(S3_Game_Stats[Name], A44, S3_Game_Stats[Rounds Won])</f>
        <v>0</v>
      </c>
      <c r="I44" s="44">
        <f> SUMIF('S3 Regular Season'!A:A, A44, 'S3 Regular Season'!G:G) + SUMIF('S3 Regular Season'!K:K, A44, 'S3 Regular Season'!Q:Q)</f>
        <v>0</v>
      </c>
      <c r="L44" s="55">
        <v>11.0</v>
      </c>
      <c r="M44" s="6" t="s">
        <v>28</v>
      </c>
      <c r="N44" s="51"/>
      <c r="O44" s="52"/>
    </row>
    <row r="45" ht="22.5" customHeight="1">
      <c r="A45" s="32" t="s">
        <v>30</v>
      </c>
      <c r="B45" s="43">
        <f>COUNTIFS('S3 Regular Season'!A:A, A45, 'S3 Regular Season'!I:I, "&lt;&gt;") + COUNTIFS('S3 Regular Season'!K:K, A45, 'S3 Regular Season'!S:S, "&lt;&gt;")</f>
        <v>0</v>
      </c>
      <c r="C45" s="53">
        <f>SUMIF('S3 Regular Season'!A:A, A45, 'S3 Regular Season'!I:I) + SUMIF('S3 Regular Season'!K:K, A45, 'S3 Regular Season'!S:S)</f>
        <v>0</v>
      </c>
      <c r="D45" s="45">
        <f> SUMIF(S3_Game_Stats[Name], A45, S3_Game_Stats[Games]) - SUMIF(S3_Game_Stats[Name], A45, S3_Game_Stats[Wins])</f>
        <v>0</v>
      </c>
      <c r="E45" s="46" t="str">
        <f> IFERROR(SUMIF(S3_Game_Stats[Name], A45, S3_Game_Stats[Wins]) / SUMIF(S3_Game_Stats[Name], A45, S3_Game_Stats[Games]),"")</f>
        <v/>
      </c>
      <c r="F45" s="47" t="str">
        <f> IFERROR(SUMIF(S3_Game_Stats[Name], A45, S3_Game_Stats[Rounds Won]) / SUMIF(S3_Game_Stats[Name], A45, S3_Game_Stats[Rounds Played]),"")</f>
        <v/>
      </c>
      <c r="G45" s="44">
        <f> SUMIF('S3 Regular Season'!A:A, A45, 'S3 Regular Season'!H:H) + SUMIF('S3 Regular Season'!K:K, A45, 'S3 Regular Season'!R:R)</f>
        <v>0</v>
      </c>
      <c r="H45" s="48">
        <f> SUMIF(S3_Game_Stats[Name], A45, S3_Game_Stats[Rounds Played]) - SUMIF(S3_Game_Stats[Name], A45, S3_Game_Stats[Rounds Won])</f>
        <v>0</v>
      </c>
      <c r="I45" s="44">
        <f> SUMIF('S3 Regular Season'!A:A, A45, 'S3 Regular Season'!G:G) + SUMIF('S3 Regular Season'!K:K, A45, 'S3 Regular Season'!Q:Q)</f>
        <v>0</v>
      </c>
      <c r="L45" s="55">
        <v>12.0</v>
      </c>
      <c r="M45" s="6" t="s">
        <v>30</v>
      </c>
      <c r="N45" s="51"/>
      <c r="O45" s="52"/>
    </row>
    <row r="46" ht="22.5" customHeight="1">
      <c r="A46" s="32" t="s">
        <v>31</v>
      </c>
      <c r="B46" s="43">
        <f>COUNTIFS('S3 Regular Season'!A:A, A46, 'S3 Regular Season'!I:I, "&lt;&gt;") + COUNTIFS('S3 Regular Season'!K:K, A46, 'S3 Regular Season'!S:S, "&lt;&gt;")</f>
        <v>0</v>
      </c>
      <c r="C46" s="44">
        <f>SUMIF('S3 Regular Season'!A:A, A46, 'S3 Regular Season'!I:I) + SUMIF('S3 Regular Season'!K:K, A46, 'S3 Regular Season'!S:S)</f>
        <v>0</v>
      </c>
      <c r="D46" s="45">
        <f> SUMIF(S3_Game_Stats[Name], A46, S3_Game_Stats[Games]) - SUMIF(S3_Game_Stats[Name], A46, S3_Game_Stats[Wins])</f>
        <v>0</v>
      </c>
      <c r="E46" s="46" t="str">
        <f> IFERROR(SUMIF(S3_Game_Stats[Name], A46, S3_Game_Stats[Wins]) / SUMIF(S3_Game_Stats[Name], A46, S3_Game_Stats[Games]),"")</f>
        <v/>
      </c>
      <c r="F46" s="47" t="str">
        <f> IFERROR(SUMIF(S3_Game_Stats[Name], A46, S3_Game_Stats[Rounds Won]) / SUMIF(S3_Game_Stats[Name], A46, S3_Game_Stats[Rounds Played]),"")</f>
        <v/>
      </c>
      <c r="G46" s="44">
        <f> SUMIF('S3 Regular Season'!A:A, A46, 'S3 Regular Season'!H:H) + SUMIF('S3 Regular Season'!K:K, A46, 'S3 Regular Season'!R:R)</f>
        <v>0</v>
      </c>
      <c r="H46" s="48">
        <f> SUMIF(S3_Game_Stats[Name], A46, S3_Game_Stats[Rounds Played]) - SUMIF(S3_Game_Stats[Name], A46, S3_Game_Stats[Rounds Won])</f>
        <v>0</v>
      </c>
      <c r="I46" s="44">
        <f> SUMIF('S3 Regular Season'!A:A, A46, 'S3 Regular Season'!G:G) + SUMIF('S3 Regular Season'!K:K, A46, 'S3 Regular Season'!Q:Q)</f>
        <v>0</v>
      </c>
      <c r="L46" s="55">
        <v>13.0</v>
      </c>
      <c r="M46" s="6" t="s">
        <v>31</v>
      </c>
      <c r="N46" s="51"/>
      <c r="O46" s="52"/>
    </row>
    <row r="47">
      <c r="A47" s="56"/>
      <c r="B47" s="57"/>
      <c r="C47" s="57"/>
      <c r="D47" s="57"/>
      <c r="E47" s="58"/>
      <c r="F47" s="59"/>
      <c r="G47" s="57"/>
    </row>
    <row r="48" ht="15.75" customHeight="1"/>
    <row r="49" ht="15.75" customHeight="1"/>
    <row r="50" ht="15.75" customHeight="1">
      <c r="A50" s="26" t="s">
        <v>32</v>
      </c>
      <c r="B50" s="29" t="s">
        <v>55</v>
      </c>
      <c r="C50" s="29" t="s">
        <v>56</v>
      </c>
      <c r="D50" s="26" t="s">
        <v>57</v>
      </c>
      <c r="E50" s="28" t="s">
        <v>58</v>
      </c>
      <c r="F50" s="29" t="s">
        <v>59</v>
      </c>
      <c r="G50" s="28" t="s">
        <v>60</v>
      </c>
      <c r="H50" s="29" t="s">
        <v>61</v>
      </c>
      <c r="I50" s="30" t="s">
        <v>62</v>
      </c>
      <c r="J50" s="31" t="s">
        <v>63</v>
      </c>
    </row>
    <row r="51" ht="15.75" customHeight="1">
      <c r="A51" s="32" t="s">
        <v>10</v>
      </c>
      <c r="B51" s="60" t="str">
        <f> IFERROR(SUMIF(S3_Stats[4], A51, S3_Stats[Kill Diff.]) / SUMIF(S3_Game_Stats[Name], A51, S3_Game_Stats[Games]),"")</f>
        <v/>
      </c>
      <c r="C51" s="61" t="str">
        <f> IFERROR(SUMIF(S3_Stats[4], A51, S3_Stats[Total Damage]) / SUMIF(S3_Game_Stats[Name], A51, S3_Game_Stats[Games]),"")</f>
        <v/>
      </c>
      <c r="D51" s="62">
        <f> IFERROR(SUMIF(S3_Game_Stats[Name], A51, S3_Game_Stats[Rounds Won]) / SUMIF(S3_Game_Stats[Name], A51, S3_Game_Stats[Games]), 0) - IFERROR(SUMIF(S3_Game_Stats[Name], A51, S3_Game_Stats[Rounds Lost]) / SUMIF(S3_Game_Stats[Name], A51, S3_Game_Stats[Games]), 0)</f>
        <v>0</v>
      </c>
      <c r="E51" s="38" t="str">
        <f> IFERROR(SUMIF(S3_Game_Stats[Name], A51, S3_Game_Stats[Rounds Played]) / SUMIF(S3_Game_Stats[Name], A51, S3_Game_Stats[Games]),"")</f>
        <v/>
      </c>
      <c r="F51" s="38" t="str">
        <f> IFERROR(SUMIF(S3_Game_Stats[Name], A51, S3_Game_Stats[Rounds Won]) / SUMIF(S3_Game_Stats[Name], A51, S3_Game_Stats[Games]),"")</f>
        <v/>
      </c>
      <c r="G51" s="38" t="str">
        <f> IFERROR(SUMIF(S3_Game_Stats[Name], A51, S3_Game_Stats[Rounds Lost]) / SUMIF(S3_Game_Stats[Name], A51, S3_Game_Stats[Games]),"")</f>
        <v/>
      </c>
      <c r="H51" s="63" t="str">
        <f> IFERROR(SUMIF(S3_Stats[4], A51, S3_Stats[Kills]) / SUMIF(S3_Game_Stats[Name], A51, S3_Game_Stats[Games]),"")</f>
        <v/>
      </c>
      <c r="I51" s="64" t="str">
        <f> IFERROR(SUMIF(S3_Stats[4], A51, S3_Stats[Assists]) / SUMIF(S3_Game_Stats[Name], A51, S3_Game_Stats[Games]),"")</f>
        <v/>
      </c>
      <c r="J51" s="65" t="str">
        <f> IFERROR(SUMIF(S3_Stats[4], A51, S3_Stats[Deaths]) / SUMIF(S3_Game_Stats[Name], A51, S3_Game_Stats[Games]),"")</f>
        <v/>
      </c>
    </row>
    <row r="52" ht="15.75" customHeight="1">
      <c r="A52" s="32" t="s">
        <v>11</v>
      </c>
      <c r="B52" s="60" t="str">
        <f> IFERROR(SUMIF(S3_Stats[4], A52, S3_Stats[Kill Diff.]) / SUMIF(S3_Game_Stats[Name], A52, S3_Game_Stats[Games]),"")</f>
        <v/>
      </c>
      <c r="C52" s="61" t="str">
        <f> IFERROR(SUMIF(S3_Stats[4], A52, S3_Stats[Total Damage]) / SUMIF(S3_Game_Stats[Name], A52, S3_Game_Stats[Games]),"")</f>
        <v/>
      </c>
      <c r="D52" s="62">
        <f> IFERROR(SUMIF(S3_Game_Stats[Name], A52, S3_Game_Stats[Rounds Won]) / SUMIF(S3_Game_Stats[Name], A52, S3_Game_Stats[Games]), 0) - IFERROR(SUMIF(S3_Game_Stats[Name], A52, S3_Game_Stats[Rounds Lost]) / SUMIF(S3_Game_Stats[Name], A52, S3_Game_Stats[Games]), 0)</f>
        <v>0</v>
      </c>
      <c r="E52" s="38" t="str">
        <f> IFERROR(SUMIF(S3_Game_Stats[Name], A52, S3_Game_Stats[Rounds Played]) / SUMIF(S3_Game_Stats[Name], A52, S3_Game_Stats[Games]),"")</f>
        <v/>
      </c>
      <c r="F52" s="38" t="str">
        <f> IFERROR(SUMIF(S3_Game_Stats[Name], A52, S3_Game_Stats[Rounds Won]) / SUMIF(S3_Game_Stats[Name], A52, S3_Game_Stats[Games]),"")</f>
        <v/>
      </c>
      <c r="G52" s="38" t="str">
        <f> IFERROR(SUMIF(S3_Game_Stats[Name], A52, S3_Game_Stats[Rounds Lost]) / SUMIF(S3_Game_Stats[Name], A52, S3_Game_Stats[Games]),"")</f>
        <v/>
      </c>
      <c r="H52" s="63" t="str">
        <f> IFERROR(SUMIF(S3_Stats[4], A52, S3_Stats[Kills]) / SUMIF(S3_Game_Stats[Name], A52, S3_Game_Stats[Games]),"")</f>
        <v/>
      </c>
      <c r="I52" s="64" t="str">
        <f> IFERROR(SUMIF(S3_Stats[4], A52, S3_Stats[Assists]) / SUMIF(S3_Game_Stats[Name], A52, S3_Game_Stats[Games]),"")</f>
        <v/>
      </c>
      <c r="J52" s="65" t="str">
        <f> IFERROR(SUMIF(S3_Stats[4], A52, S3_Stats[Deaths]) / SUMIF(S3_Game_Stats[Name], A52, S3_Game_Stats[Games]),"")</f>
        <v/>
      </c>
    </row>
    <row r="53" ht="15.75" customHeight="1">
      <c r="A53" s="32" t="s">
        <v>12</v>
      </c>
      <c r="B53" s="60" t="str">
        <f> IFERROR(SUMIF(S3_Stats[4], A53, S3_Stats[Kill Diff.]) / SUMIF(S3_Game_Stats[Name], A53, S3_Game_Stats[Games]),"")</f>
        <v/>
      </c>
      <c r="C53" s="61" t="str">
        <f> IFERROR(SUMIF(S3_Stats[4], A53, S3_Stats[Total Damage]) / SUMIF(S3_Game_Stats[Name], A53, S3_Game_Stats[Games]),"")</f>
        <v/>
      </c>
      <c r="D53" s="62">
        <f> IFERROR(SUMIF(S3_Game_Stats[Name], A53, S3_Game_Stats[Rounds Won]) / SUMIF(S3_Game_Stats[Name], A53, S3_Game_Stats[Games]), 0) - IFERROR(SUMIF(S3_Game_Stats[Name], A53, S3_Game_Stats[Rounds Lost]) / SUMIF(S3_Game_Stats[Name], A53, S3_Game_Stats[Games]), 0)</f>
        <v>0</v>
      </c>
      <c r="E53" s="38" t="str">
        <f> IFERROR(SUMIF(S3_Game_Stats[Name], A53, S3_Game_Stats[Rounds Played]) / SUMIF(S3_Game_Stats[Name], A53, S3_Game_Stats[Games]),"")</f>
        <v/>
      </c>
      <c r="F53" s="38" t="str">
        <f> IFERROR(SUMIF(S3_Game_Stats[Name], A53, S3_Game_Stats[Rounds Won]) / SUMIF(S3_Game_Stats[Name], A53, S3_Game_Stats[Games]),"")</f>
        <v/>
      </c>
      <c r="G53" s="38" t="str">
        <f> IFERROR(SUMIF(S3_Game_Stats[Name], A53, S3_Game_Stats[Rounds Lost]) / SUMIF(S3_Game_Stats[Name], A53, S3_Game_Stats[Games]),"")</f>
        <v/>
      </c>
      <c r="H53" s="63" t="str">
        <f> IFERROR(SUMIF(S3_Stats[4], A53, S3_Stats[Kills]) / SUMIF(S3_Game_Stats[Name], A53, S3_Game_Stats[Games]),"")</f>
        <v/>
      </c>
      <c r="I53" s="64" t="str">
        <f> IFERROR(SUMIF(S3_Stats[4], A53, S3_Stats[Assists]) / SUMIF(S3_Game_Stats[Name], A53, S3_Game_Stats[Games]),"")</f>
        <v/>
      </c>
      <c r="J53" s="65" t="str">
        <f> IFERROR(SUMIF(S3_Stats[4], A53, S3_Stats[Deaths]) / SUMIF(S3_Game_Stats[Name], A53, S3_Game_Stats[Games]),"")</f>
        <v/>
      </c>
    </row>
    <row r="54" ht="15.75" customHeight="1">
      <c r="A54" s="32" t="s">
        <v>14</v>
      </c>
      <c r="B54" s="60" t="str">
        <f> IFERROR(SUMIF(S3_Stats[4], A54, S3_Stats[Kill Diff.]) / SUMIF(S3_Game_Stats[Name], A54, S3_Game_Stats[Games]),"")</f>
        <v/>
      </c>
      <c r="C54" s="61" t="str">
        <f> IFERROR(SUMIF(S3_Stats[4], A54, S3_Stats[Total Damage]) / SUMIF(S3_Game_Stats[Name], A54, S3_Game_Stats[Games]),"")</f>
        <v/>
      </c>
      <c r="D54" s="62">
        <f> IFERROR(SUMIF(S3_Game_Stats[Name], A54, S3_Game_Stats[Rounds Won]) / SUMIF(S3_Game_Stats[Name], A54, S3_Game_Stats[Games]), 0) - IFERROR(SUMIF(S3_Game_Stats[Name], A54, S3_Game_Stats[Rounds Lost]) / SUMIF(S3_Game_Stats[Name], A54, S3_Game_Stats[Games]), 0)</f>
        <v>0</v>
      </c>
      <c r="E54" s="38" t="str">
        <f> IFERROR(SUMIF(S3_Game_Stats[Name], A54, S3_Game_Stats[Rounds Played]) / SUMIF(S3_Game_Stats[Name], A54, S3_Game_Stats[Games]),"")</f>
        <v/>
      </c>
      <c r="F54" s="38" t="str">
        <f> IFERROR(SUMIF(S3_Game_Stats[Name], A54, S3_Game_Stats[Rounds Won]) / SUMIF(S3_Game_Stats[Name], A54, S3_Game_Stats[Games]),"")</f>
        <v/>
      </c>
      <c r="G54" s="38" t="str">
        <f> IFERROR(SUMIF(S3_Game_Stats[Name], A54, S3_Game_Stats[Rounds Lost]) / SUMIF(S3_Game_Stats[Name], A54, S3_Game_Stats[Games]),"")</f>
        <v/>
      </c>
      <c r="H54" s="63" t="str">
        <f> IFERROR(SUMIF(S3_Stats[4], A54, S3_Stats[Kills]) / SUMIF(S3_Game_Stats[Name], A54, S3_Game_Stats[Games]),"")</f>
        <v/>
      </c>
      <c r="I54" s="64" t="str">
        <f> IFERROR(SUMIF(S3_Stats[4], A54, S3_Stats[Assists]) / SUMIF(S3_Game_Stats[Name], A54, S3_Game_Stats[Games]),"")</f>
        <v/>
      </c>
      <c r="J54" s="65" t="str">
        <f> IFERROR(SUMIF(S3_Stats[4], A54, S3_Stats[Deaths]) / SUMIF(S3_Game_Stats[Name], A54, S3_Game_Stats[Games]),"")</f>
        <v/>
      </c>
    </row>
    <row r="55" ht="15.75" customHeight="1">
      <c r="A55" s="32" t="s">
        <v>16</v>
      </c>
      <c r="B55" s="60" t="str">
        <f> IFERROR(SUMIF(S3_Stats[4], A55, S3_Stats[Kill Diff.]) / SUMIF(S3_Game_Stats[Name], A55, S3_Game_Stats[Games]),"")</f>
        <v/>
      </c>
      <c r="C55" s="61" t="str">
        <f> IFERROR(SUMIF(S3_Stats[4], A55, S3_Stats[Total Damage]) / SUMIF(S3_Game_Stats[Name], A55, S3_Game_Stats[Games]),"")</f>
        <v/>
      </c>
      <c r="D55" s="62">
        <f> IFERROR(SUMIF(S3_Game_Stats[Name], A55, S3_Game_Stats[Rounds Won]) / SUMIF(S3_Game_Stats[Name], A55, S3_Game_Stats[Games]), 0) - IFERROR(SUMIF(S3_Game_Stats[Name], A55, S3_Game_Stats[Rounds Lost]) / SUMIF(S3_Game_Stats[Name], A55, S3_Game_Stats[Games]), 0)</f>
        <v>0</v>
      </c>
      <c r="E55" s="38" t="str">
        <f> IFERROR(SUMIF(S3_Game_Stats[Name], A55, S3_Game_Stats[Rounds Played]) / SUMIF(S3_Game_Stats[Name], A55, S3_Game_Stats[Games]),"")</f>
        <v/>
      </c>
      <c r="F55" s="38" t="str">
        <f> IFERROR(SUMIF(S3_Game_Stats[Name], A55, S3_Game_Stats[Rounds Won]) / SUMIF(S3_Game_Stats[Name], A55, S3_Game_Stats[Games]),"")</f>
        <v/>
      </c>
      <c r="G55" s="38" t="str">
        <f> IFERROR(SUMIF(S3_Game_Stats[Name], A55, S3_Game_Stats[Rounds Lost]) / SUMIF(S3_Game_Stats[Name], A55, S3_Game_Stats[Games]),"")</f>
        <v/>
      </c>
      <c r="H55" s="63" t="str">
        <f> IFERROR(SUMIF(S3_Stats[4], A55, S3_Stats[Kills]) / SUMIF(S3_Game_Stats[Name], A55, S3_Game_Stats[Games]),"")</f>
        <v/>
      </c>
      <c r="I55" s="64" t="str">
        <f> IFERROR(SUMIF(S3_Stats[4], A55, S3_Stats[Assists]) / SUMIF(S3_Game_Stats[Name], A55, S3_Game_Stats[Games]),"")</f>
        <v/>
      </c>
      <c r="J55" s="65" t="str">
        <f> IFERROR(SUMIF(S3_Stats[4], A55, S3_Stats[Deaths]) / SUMIF(S3_Game_Stats[Name], A55, S3_Game_Stats[Games]),"")</f>
        <v/>
      </c>
    </row>
    <row r="56" ht="15.75" customHeight="1">
      <c r="A56" s="32" t="s">
        <v>18</v>
      </c>
      <c r="B56" s="60" t="str">
        <f> IFERROR(SUMIF(S3_Stats[4], A56, S3_Stats[Kill Diff.]) / SUMIF(S3_Game_Stats[Name], A56, S3_Game_Stats[Games]),"")</f>
        <v/>
      </c>
      <c r="C56" s="61" t="str">
        <f> IFERROR(SUMIF(S3_Stats[4], A56, S3_Stats[Total Damage]) / SUMIF(S3_Game_Stats[Name], A56, S3_Game_Stats[Games]),"")</f>
        <v/>
      </c>
      <c r="D56" s="62">
        <f> IFERROR(SUMIF(S3_Game_Stats[Name], A56, S3_Game_Stats[Rounds Won]) / SUMIF(S3_Game_Stats[Name], A56, S3_Game_Stats[Games]), 0) - IFERROR(SUMIF(S3_Game_Stats[Name], A56, S3_Game_Stats[Rounds Lost]) / SUMIF(S3_Game_Stats[Name], A56, S3_Game_Stats[Games]), 0)</f>
        <v>0</v>
      </c>
      <c r="E56" s="38" t="str">
        <f> IFERROR(SUMIF(S3_Game_Stats[Name], A56, S3_Game_Stats[Rounds Played]) / SUMIF(S3_Game_Stats[Name], A56, S3_Game_Stats[Games]),"")</f>
        <v/>
      </c>
      <c r="F56" s="38" t="str">
        <f> IFERROR(SUMIF(S3_Game_Stats[Name], A56, S3_Game_Stats[Rounds Won]) / SUMIF(S3_Game_Stats[Name], A56, S3_Game_Stats[Games]),"")</f>
        <v/>
      </c>
      <c r="G56" s="38" t="str">
        <f> IFERROR(SUMIF(S3_Game_Stats[Name], A56, S3_Game_Stats[Rounds Lost]) / SUMIF(S3_Game_Stats[Name], A56, S3_Game_Stats[Games]),"")</f>
        <v/>
      </c>
      <c r="H56" s="63" t="str">
        <f> IFERROR(SUMIF(S3_Stats[4], A56, S3_Stats[Kills]) / SUMIF(S3_Game_Stats[Name], A56, S3_Game_Stats[Games]),"")</f>
        <v/>
      </c>
      <c r="I56" s="64" t="str">
        <f> IFERROR(SUMIF(S3_Stats[4], A56, S3_Stats[Assists]) / SUMIF(S3_Game_Stats[Name], A56, S3_Game_Stats[Games]),"")</f>
        <v/>
      </c>
      <c r="J56" s="65" t="str">
        <f> IFERROR(SUMIF(S3_Stats[4], A56, S3_Stats[Deaths]) / SUMIF(S3_Game_Stats[Name], A56, S3_Game_Stats[Games]),"")</f>
        <v/>
      </c>
    </row>
    <row r="57" ht="15.75" customHeight="1">
      <c r="A57" s="32" t="s">
        <v>20</v>
      </c>
      <c r="B57" s="60" t="str">
        <f> IFERROR(SUMIF(S3_Stats[4], A57, S3_Stats[Kill Diff.]) / SUMIF(S3_Game_Stats[Name], A57, S3_Game_Stats[Games]),"")</f>
        <v/>
      </c>
      <c r="C57" s="61" t="str">
        <f> IFERROR(SUMIF(S3_Stats[4], A57, S3_Stats[Total Damage]) / SUMIF(S3_Game_Stats[Name], A57, S3_Game_Stats[Games]),"")</f>
        <v/>
      </c>
      <c r="D57" s="62">
        <f> IFERROR(SUMIF(S3_Game_Stats[Name], A57, S3_Game_Stats[Rounds Won]) / SUMIF(S3_Game_Stats[Name], A57, S3_Game_Stats[Games]), 0) - IFERROR(SUMIF(S3_Game_Stats[Name], A57, S3_Game_Stats[Rounds Lost]) / SUMIF(S3_Game_Stats[Name], A57, S3_Game_Stats[Games]), 0)</f>
        <v>0</v>
      </c>
      <c r="E57" s="38" t="str">
        <f> IFERROR(SUMIF(S3_Game_Stats[Name], A57, S3_Game_Stats[Rounds Played]) / SUMIF(S3_Game_Stats[Name], A57, S3_Game_Stats[Games]),"")</f>
        <v/>
      </c>
      <c r="F57" s="38" t="str">
        <f> IFERROR(SUMIF(S3_Game_Stats[Name], A57, S3_Game_Stats[Rounds Won]) / SUMIF(S3_Game_Stats[Name], A57, S3_Game_Stats[Games]),"")</f>
        <v/>
      </c>
      <c r="G57" s="38" t="str">
        <f> IFERROR(SUMIF(S3_Game_Stats[Name], A57, S3_Game_Stats[Rounds Lost]) / SUMIF(S3_Game_Stats[Name], A57, S3_Game_Stats[Games]),"")</f>
        <v/>
      </c>
      <c r="H57" s="63" t="str">
        <f> IFERROR(SUMIF(S3_Stats[4], A57, S3_Stats[Kills]) / SUMIF(S3_Game_Stats[Name], A57, S3_Game_Stats[Games]),"")</f>
        <v/>
      </c>
      <c r="I57" s="64" t="str">
        <f> IFERROR(SUMIF(S3_Stats[4], A57, S3_Stats[Assists]) / SUMIF(S3_Game_Stats[Name], A57, S3_Game_Stats[Games]),"")</f>
        <v/>
      </c>
      <c r="J57" s="65" t="str">
        <f> IFERROR(SUMIF(S3_Stats[4], A57, S3_Stats[Deaths]) / SUMIF(S3_Game_Stats[Name], A57, S3_Game_Stats[Games]),"")</f>
        <v/>
      </c>
    </row>
    <row r="58" ht="15.75" customHeight="1">
      <c r="A58" s="32" t="s">
        <v>22</v>
      </c>
      <c r="B58" s="60" t="str">
        <f> IFERROR(SUMIF(S3_Stats[4], A58, S3_Stats[Kill Diff.]) / SUMIF(S3_Game_Stats[Name], A58, S3_Game_Stats[Games]),"")</f>
        <v/>
      </c>
      <c r="C58" s="61" t="str">
        <f> IFERROR(SUMIF(S3_Stats[4], A58, S3_Stats[Total Damage]) / SUMIF(S3_Game_Stats[Name], A58, S3_Game_Stats[Games]),"")</f>
        <v/>
      </c>
      <c r="D58" s="62">
        <f> IFERROR(SUMIF(S3_Game_Stats[Name], A58, S3_Game_Stats[Rounds Won]) / SUMIF(S3_Game_Stats[Name], A58, S3_Game_Stats[Games]), 0) - IFERROR(SUMIF(S3_Game_Stats[Name], A58, S3_Game_Stats[Rounds Lost]) / SUMIF(S3_Game_Stats[Name], A58, S3_Game_Stats[Games]), 0)</f>
        <v>0</v>
      </c>
      <c r="E58" s="38" t="str">
        <f> IFERROR(SUMIF(S3_Game_Stats[Name], A58, S3_Game_Stats[Rounds Played]) / SUMIF(S3_Game_Stats[Name], A58, S3_Game_Stats[Games]),"")</f>
        <v/>
      </c>
      <c r="F58" s="38" t="str">
        <f> IFERROR(SUMIF(S3_Game_Stats[Name], A58, S3_Game_Stats[Rounds Won]) / SUMIF(S3_Game_Stats[Name], A58, S3_Game_Stats[Games]),"")</f>
        <v/>
      </c>
      <c r="G58" s="38" t="str">
        <f> IFERROR(SUMIF(S3_Game_Stats[Name], A58, S3_Game_Stats[Rounds Lost]) / SUMIF(S3_Game_Stats[Name], A58, S3_Game_Stats[Games]),"")</f>
        <v/>
      </c>
      <c r="H58" s="63" t="str">
        <f> IFERROR(SUMIF(S3_Stats[4], A58, S3_Stats[Kills]) / SUMIF(S3_Game_Stats[Name], A58, S3_Game_Stats[Games]),"")</f>
        <v/>
      </c>
      <c r="I58" s="64" t="str">
        <f> IFERROR(SUMIF(S3_Stats[4], A58, S3_Stats[Assists]) / SUMIF(S3_Game_Stats[Name], A58, S3_Game_Stats[Games]),"")</f>
        <v/>
      </c>
      <c r="J58" s="65" t="str">
        <f> IFERROR(SUMIF(S3_Stats[4], A58, S3_Stats[Deaths]) / SUMIF(S3_Game_Stats[Name], A58, S3_Game_Stats[Games]),"")</f>
        <v/>
      </c>
    </row>
    <row r="59" ht="15.75" customHeight="1">
      <c r="A59" s="32" t="s">
        <v>24</v>
      </c>
      <c r="B59" s="60" t="str">
        <f> IFERROR(SUMIF(S3_Stats[4], A59, S3_Stats[Kill Diff.]) / SUMIF(S3_Game_Stats[Name], A59, S3_Game_Stats[Games]),"")</f>
        <v/>
      </c>
      <c r="C59" s="61" t="str">
        <f> IFERROR(SUMIF(S3_Stats[4], A59, S3_Stats[Total Damage]) / SUMIF(S3_Game_Stats[Name], A59, S3_Game_Stats[Games]),"")</f>
        <v/>
      </c>
      <c r="D59" s="62">
        <f> IFERROR(SUMIF(S3_Game_Stats[Name], A59, S3_Game_Stats[Rounds Won]) / SUMIF(S3_Game_Stats[Name], A59, S3_Game_Stats[Games]), 0) - IFERROR(SUMIF(S3_Game_Stats[Name], A59, S3_Game_Stats[Rounds Lost]) / SUMIF(S3_Game_Stats[Name], A59, S3_Game_Stats[Games]), 0)</f>
        <v>0</v>
      </c>
      <c r="E59" s="38" t="str">
        <f> IFERROR(SUMIF(S3_Game_Stats[Name], A59, S3_Game_Stats[Rounds Played]) / SUMIF(S3_Game_Stats[Name], A59, S3_Game_Stats[Games]),"")</f>
        <v/>
      </c>
      <c r="F59" s="38" t="str">
        <f> IFERROR(SUMIF(S3_Game_Stats[Name], A59, S3_Game_Stats[Rounds Won]) / SUMIF(S3_Game_Stats[Name], A59, S3_Game_Stats[Games]),"")</f>
        <v/>
      </c>
      <c r="G59" s="38" t="str">
        <f> IFERROR(SUMIF(S3_Game_Stats[Name], A59, S3_Game_Stats[Rounds Lost]) / SUMIF(S3_Game_Stats[Name], A59, S3_Game_Stats[Games]),"")</f>
        <v/>
      </c>
      <c r="H59" s="63" t="str">
        <f> IFERROR(SUMIF(S3_Stats[4], A59, S3_Stats[Kills]) / SUMIF(S3_Game_Stats[Name], A59, S3_Game_Stats[Games]),"")</f>
        <v/>
      </c>
      <c r="I59" s="64" t="str">
        <f> IFERROR(SUMIF(S3_Stats[4], A59, S3_Stats[Assists]) / SUMIF(S3_Game_Stats[Name], A59, S3_Game_Stats[Games]),"")</f>
        <v/>
      </c>
      <c r="J59" s="65" t="str">
        <f> IFERROR(SUMIF(S3_Stats[4], A59, S3_Stats[Deaths]) / SUMIF(S3_Game_Stats[Name], A59, S3_Game_Stats[Games]),"")</f>
        <v/>
      </c>
    </row>
    <row r="60" ht="15.75" customHeight="1">
      <c r="A60" s="32" t="s">
        <v>26</v>
      </c>
      <c r="B60" s="60" t="str">
        <f> IFERROR(SUMIF(S3_Stats[4], A60, S3_Stats[Kill Diff.]) / SUMIF(S3_Game_Stats[Name], A60, S3_Game_Stats[Games]),"")</f>
        <v/>
      </c>
      <c r="C60" s="61" t="str">
        <f> IFERROR(SUMIF(S3_Stats[4], A60, S3_Stats[Total Damage]) / SUMIF(S3_Game_Stats[Name], A60, S3_Game_Stats[Games]),"")</f>
        <v/>
      </c>
      <c r="D60" s="62">
        <f> IFERROR(SUMIF(S3_Game_Stats[Name], A60, S3_Game_Stats[Rounds Won]) / SUMIF(S3_Game_Stats[Name], A60, S3_Game_Stats[Games]), 0) - IFERROR(SUMIF(S3_Game_Stats[Name], A60, S3_Game_Stats[Rounds Lost]) / SUMIF(S3_Game_Stats[Name], A60, S3_Game_Stats[Games]), 0)</f>
        <v>0</v>
      </c>
      <c r="E60" s="38" t="str">
        <f> IFERROR(SUMIF(S3_Game_Stats[Name], A60, S3_Game_Stats[Rounds Played]) / SUMIF(S3_Game_Stats[Name], A60, S3_Game_Stats[Games]),"")</f>
        <v/>
      </c>
      <c r="F60" s="38" t="str">
        <f> IFERROR(SUMIF(S3_Game_Stats[Name], A60, S3_Game_Stats[Rounds Won]) / SUMIF(S3_Game_Stats[Name], A60, S3_Game_Stats[Games]),"")</f>
        <v/>
      </c>
      <c r="G60" s="38" t="str">
        <f> IFERROR(SUMIF(S3_Game_Stats[Name], A60, S3_Game_Stats[Rounds Lost]) / SUMIF(S3_Game_Stats[Name], A60, S3_Game_Stats[Games]),"")</f>
        <v/>
      </c>
      <c r="H60" s="63" t="str">
        <f> IFERROR(SUMIF(S3_Stats[4], A60, S3_Stats[Kills]) / SUMIF(S3_Game_Stats[Name], A60, S3_Game_Stats[Games]),"")</f>
        <v/>
      </c>
      <c r="I60" s="64" t="str">
        <f> IFERROR(SUMIF(S3_Stats[4], A60, S3_Stats[Assists]) / SUMIF(S3_Game_Stats[Name], A60, S3_Game_Stats[Games]),"")</f>
        <v/>
      </c>
      <c r="J60" s="65" t="str">
        <f> IFERROR(SUMIF(S3_Stats[4], A60, S3_Stats[Deaths]) / SUMIF(S3_Game_Stats[Name], A60, S3_Game_Stats[Games]),"")</f>
        <v/>
      </c>
    </row>
    <row r="61" ht="15.75" customHeight="1">
      <c r="A61" s="32" t="s">
        <v>28</v>
      </c>
      <c r="B61" s="60" t="str">
        <f> IFERROR(SUMIF(S3_Stats[4], A61, S3_Stats[Kill Diff.]) / SUMIF(S3_Game_Stats[Name], A61, S3_Game_Stats[Games]),"")</f>
        <v/>
      </c>
      <c r="C61" s="61" t="str">
        <f> IFERROR(SUMIF(S3_Stats[4], A61, S3_Stats[Total Damage]) / SUMIF(S3_Game_Stats[Name], A61, S3_Game_Stats[Games]),"")</f>
        <v/>
      </c>
      <c r="D61" s="62">
        <f> IFERROR(SUMIF(S3_Game_Stats[Name], A61, S3_Game_Stats[Rounds Won]) / SUMIF(S3_Game_Stats[Name], A61, S3_Game_Stats[Games]), 0) - IFERROR(SUMIF(S3_Game_Stats[Name], A61, S3_Game_Stats[Rounds Lost]) / SUMIF(S3_Game_Stats[Name], A61, S3_Game_Stats[Games]), 0)</f>
        <v>0</v>
      </c>
      <c r="E61" s="38" t="str">
        <f> IFERROR(SUMIF(S3_Game_Stats[Name], A61, S3_Game_Stats[Rounds Played]) / SUMIF(S3_Game_Stats[Name], A61, S3_Game_Stats[Games]),"")</f>
        <v/>
      </c>
      <c r="F61" s="38" t="str">
        <f> IFERROR(SUMIF(S3_Game_Stats[Name], A61, S3_Game_Stats[Rounds Won]) / SUMIF(S3_Game_Stats[Name], A61, S3_Game_Stats[Games]),"")</f>
        <v/>
      </c>
      <c r="G61" s="38" t="str">
        <f> IFERROR(SUMIF(S3_Game_Stats[Name], A61, S3_Game_Stats[Rounds Lost]) / SUMIF(S3_Game_Stats[Name], A61, S3_Game_Stats[Games]),"")</f>
        <v/>
      </c>
      <c r="H61" s="63" t="str">
        <f> IFERROR(SUMIF(S3_Stats[4], A61, S3_Stats[Kills]) / SUMIF(S3_Game_Stats[Name], A61, S3_Game_Stats[Games]),"")</f>
        <v/>
      </c>
      <c r="I61" s="64" t="str">
        <f> IFERROR(SUMIF(S3_Stats[4], A61, S3_Stats[Assists]) / SUMIF(S3_Game_Stats[Name], A61, S3_Game_Stats[Games]),"")</f>
        <v/>
      </c>
      <c r="J61" s="65" t="str">
        <f> IFERROR(SUMIF(S3_Stats[4], A61, S3_Stats[Deaths]) / SUMIF(S3_Game_Stats[Name], A61, S3_Game_Stats[Games]),"")</f>
        <v/>
      </c>
    </row>
    <row r="62" ht="15.75" customHeight="1">
      <c r="A62" s="32" t="s">
        <v>30</v>
      </c>
      <c r="B62" s="60" t="str">
        <f> IFERROR(SUMIF(S3_Stats[4], A62, S3_Stats[Kill Diff.]) / SUMIF(S3_Game_Stats[Name], A62, S3_Game_Stats[Games]),"")</f>
        <v/>
      </c>
      <c r="C62" s="61" t="str">
        <f> IFERROR(SUMIF(S3_Stats[4], A62, S3_Stats[Total Damage]) / SUMIF(S3_Game_Stats[Name], A62, S3_Game_Stats[Games]),"")</f>
        <v/>
      </c>
      <c r="D62" s="62">
        <f> IFERROR(SUMIF(S3_Game_Stats[Name], A62, S3_Game_Stats[Rounds Won]) / SUMIF(S3_Game_Stats[Name], A62, S3_Game_Stats[Games]), 0) - IFERROR(SUMIF(S3_Game_Stats[Name], A62, S3_Game_Stats[Rounds Lost]) / SUMIF(S3_Game_Stats[Name], A62, S3_Game_Stats[Games]), 0)</f>
        <v>0</v>
      </c>
      <c r="E62" s="38" t="str">
        <f> IFERROR(SUMIF(S3_Game_Stats[Name], A62, S3_Game_Stats[Rounds Played]) / SUMIF(S3_Game_Stats[Name], A62, S3_Game_Stats[Games]),"")</f>
        <v/>
      </c>
      <c r="F62" s="38" t="str">
        <f> IFERROR(SUMIF(S3_Game_Stats[Name], A62, S3_Game_Stats[Rounds Won]) / SUMIF(S3_Game_Stats[Name], A62, S3_Game_Stats[Games]),"")</f>
        <v/>
      </c>
      <c r="G62" s="38" t="str">
        <f> IFERROR(SUMIF(S3_Game_Stats[Name], A62, S3_Game_Stats[Rounds Lost]) / SUMIF(S3_Game_Stats[Name], A62, S3_Game_Stats[Games]),"")</f>
        <v/>
      </c>
      <c r="H62" s="63" t="str">
        <f> IFERROR(SUMIF(S3_Stats[4], A62, S3_Stats[Kills]) / SUMIF(S3_Game_Stats[Name], A62, S3_Game_Stats[Games]),"")</f>
        <v/>
      </c>
      <c r="I62" s="64" t="str">
        <f> IFERROR(SUMIF(S3_Stats[4], A62, S3_Stats[Assists]) / SUMIF(S3_Game_Stats[Name], A62, S3_Game_Stats[Games]),"")</f>
        <v/>
      </c>
      <c r="J62" s="65" t="str">
        <f> IFERROR(SUMIF(S3_Stats[4], A62, S3_Stats[Deaths]) / SUMIF(S3_Game_Stats[Name], A62, S3_Game_Stats[Games]),"")</f>
        <v/>
      </c>
    </row>
    <row r="63" ht="15.75" customHeight="1">
      <c r="A63" s="32" t="s">
        <v>31</v>
      </c>
      <c r="B63" s="60" t="str">
        <f> IFERROR(SUMIF(S3_Stats[4], A63, S3_Stats[Kill Diff.]) / SUMIF(S3_Game_Stats[Name], A63, S3_Game_Stats[Games]),"")</f>
        <v/>
      </c>
      <c r="C63" s="61" t="str">
        <f> IFERROR(SUMIF(S3_Stats[4], A63, S3_Stats[Total Damage]) / SUMIF(S3_Game_Stats[Name], A63, S3_Game_Stats[Games]),"")</f>
        <v/>
      </c>
      <c r="D63" s="62">
        <f> IFERROR(SUMIF(S3_Game_Stats[Name], A63, S3_Game_Stats[Rounds Won]) / SUMIF(S3_Game_Stats[Name], A63, S3_Game_Stats[Games]), 0) - IFERROR(SUMIF(S3_Game_Stats[Name], A63, S3_Game_Stats[Rounds Lost]) / SUMIF(S3_Game_Stats[Name], A63, S3_Game_Stats[Games]), 0)</f>
        <v>0</v>
      </c>
      <c r="E63" s="38" t="str">
        <f> IFERROR(SUMIF(S3_Game_Stats[Name], A63, S3_Game_Stats[Rounds Played]) / SUMIF(S3_Game_Stats[Name], A63, S3_Game_Stats[Games]),"")</f>
        <v/>
      </c>
      <c r="F63" s="38" t="str">
        <f> IFERROR(SUMIF(S3_Game_Stats[Name], A63, S3_Game_Stats[Rounds Won]) / SUMIF(S3_Game_Stats[Name], A63, S3_Game_Stats[Games]),"")</f>
        <v/>
      </c>
      <c r="G63" s="38" t="str">
        <f> IFERROR(SUMIF(S3_Game_Stats[Name], A63, S3_Game_Stats[Rounds Lost]) / SUMIF(S3_Game_Stats[Name], A63, S3_Game_Stats[Games]),"")</f>
        <v/>
      </c>
      <c r="H63" s="63" t="str">
        <f> IFERROR(SUMIF(S3_Stats[4], A63, S3_Stats[Kills]) / SUMIF(S3_Game_Stats[Name], A63, S3_Game_Stats[Games]),"")</f>
        <v/>
      </c>
      <c r="I63" s="64" t="str">
        <f> IFERROR(SUMIF(S3_Stats[4], A63, S3_Stats[Assists]) / SUMIF(S3_Game_Stats[Name], A63, S3_Game_Stats[Games]),"")</f>
        <v/>
      </c>
      <c r="J63" s="66" t="str">
        <f> IFERROR(SUMIF(S3_Stats[4], A63, S3_Stats[Deaths]) / SUMIF(S3_Game_Stats[Name], A63, S3_Game_Stats[Games]),"")</f>
        <v/>
      </c>
    </row>
    <row r="64" ht="15.75" customHeight="1"/>
    <row r="66" ht="22.5" customHeight="1">
      <c r="A66" s="4" t="s">
        <v>64</v>
      </c>
      <c r="B66" s="2" t="s">
        <v>65</v>
      </c>
      <c r="C66" s="2" t="s">
        <v>66</v>
      </c>
      <c r="D66" s="3" t="s">
        <v>67</v>
      </c>
      <c r="E66" s="67" t="s">
        <v>68</v>
      </c>
      <c r="F66" s="3" t="s">
        <v>69</v>
      </c>
      <c r="G66" s="3" t="s">
        <v>70</v>
      </c>
      <c r="I66" s="4" t="s">
        <v>71</v>
      </c>
      <c r="J66" s="3" t="s">
        <v>72</v>
      </c>
      <c r="K66" s="2" t="s">
        <v>73</v>
      </c>
      <c r="L66" s="68" t="s">
        <v>74</v>
      </c>
    </row>
    <row r="67" ht="22.5" customHeight="1">
      <c r="A67" s="69" t="s">
        <v>75</v>
      </c>
      <c r="B67" s="6">
        <f>COUNTIF('S3 Regular Season'!X:X, A67)</f>
        <v>0</v>
      </c>
      <c r="C67" s="6">
        <f>COUNTIF('S3 Regular Season'!U:W, A67)</f>
        <v>0</v>
      </c>
      <c r="D67" s="70">
        <f t="shared" ref="D67:D71" si="1"> MINUS(J$70, SUM(B67, C67))</f>
        <v>0</v>
      </c>
      <c r="E67" s="71">
        <f>COUNTIFS('S3 Regular Season'!Y:Y, "CT", 'S3 Regular Season'!X:X, A67)</f>
        <v>0</v>
      </c>
      <c r="F67" s="71">
        <f>COUNTIFS('S3 Regular Season'!Y:Y, "T", 'S3 Regular Season'!X:X, A67)</f>
        <v>0</v>
      </c>
      <c r="G67" s="71">
        <f> COUNTIFS('S3 Regular Season'!X:X, A67, 'S3 Regular Season'!I:I, 1)</f>
        <v>0</v>
      </c>
      <c r="I67" s="72" t="s">
        <v>76</v>
      </c>
      <c r="J67" s="73">
        <f>SUM(Map_Pick_Bans[CT Picked])</f>
        <v>0</v>
      </c>
      <c r="K67" s="73">
        <f> COUNTIFS('S3 Regular Season'!Y:Y, I67, 'S3 Regular Season'!S:S, "=1")</f>
        <v>0</v>
      </c>
      <c r="L67" s="73">
        <f> COUNTIFS('S3 Regular Season'!Y:Y, I67, 'S3 Regular Season'!S:S, "=0")</f>
        <v>0</v>
      </c>
    </row>
    <row r="68" ht="22.5" customHeight="1">
      <c r="A68" s="69" t="s">
        <v>77</v>
      </c>
      <c r="B68" s="6">
        <f>COUNTIF('S3 Regular Season'!X:X, A68)</f>
        <v>0</v>
      </c>
      <c r="C68" s="6">
        <f>COUNTIF('S3 Regular Season'!U:W, A68)</f>
        <v>0</v>
      </c>
      <c r="D68" s="70">
        <f t="shared" si="1"/>
        <v>0</v>
      </c>
      <c r="E68" s="71">
        <f>COUNTIFS('S3 Regular Season'!Y:Y, "CT", 'S3 Regular Season'!X:X, A68)</f>
        <v>0</v>
      </c>
      <c r="F68" s="71">
        <f>COUNTIFS('S3 Regular Season'!Y:Y, "T", 'S3 Regular Season'!X:X, A68)</f>
        <v>0</v>
      </c>
      <c r="G68" s="71">
        <f> COUNTIFS('S3 Regular Season'!X:X, A68, 'S3 Regular Season'!I:I, 1)</f>
        <v>0</v>
      </c>
      <c r="I68" s="74" t="s">
        <v>78</v>
      </c>
      <c r="J68" s="75">
        <f>SUM(Map_Pick_Bans[T Picked])</f>
        <v>0</v>
      </c>
      <c r="K68" s="75">
        <f> COUNTIFS('S3 Regular Season'!Y:Y, I68, 'S3 Regular Season'!S:S, "=1")</f>
        <v>0</v>
      </c>
      <c r="L68" s="75">
        <f> COUNTIFS('S3 Regular Season'!Y:Y, I68, 'S3 Regular Season'!S:S, "=0")</f>
        <v>0</v>
      </c>
    </row>
    <row r="69" ht="22.5" customHeight="1">
      <c r="A69" s="69" t="s">
        <v>79</v>
      </c>
      <c r="B69" s="6">
        <f>COUNTIF('S3 Regular Season'!X:X, A69)</f>
        <v>0</v>
      </c>
      <c r="C69" s="6">
        <f>COUNTIF('S3 Regular Season'!U:W, A69)</f>
        <v>0</v>
      </c>
      <c r="D69" s="70">
        <f t="shared" si="1"/>
        <v>0</v>
      </c>
      <c r="E69" s="71">
        <f>COUNTIFS('S3 Regular Season'!Y:Y, "CT", 'S3 Regular Season'!X:X, A69)</f>
        <v>0</v>
      </c>
      <c r="F69" s="71">
        <f>COUNTIFS('S3 Regular Season'!Y:Y, "T", 'S3 Regular Season'!X:X, A69)</f>
        <v>0</v>
      </c>
      <c r="G69" s="71">
        <f> COUNTIFS('S3 Regular Season'!X:X, A69, 'S3 Regular Season'!I:I, 1)</f>
        <v>0</v>
      </c>
    </row>
    <row r="70" ht="22.5" customHeight="1">
      <c r="A70" s="69" t="s">
        <v>80</v>
      </c>
      <c r="B70" s="6">
        <f>COUNTIF('S3 Regular Season'!X:X, A70)</f>
        <v>0</v>
      </c>
      <c r="C70" s="6">
        <f>COUNTIF('S3 Regular Season'!U:W, A70)</f>
        <v>0</v>
      </c>
      <c r="D70" s="70">
        <f t="shared" si="1"/>
        <v>0</v>
      </c>
      <c r="E70" s="71">
        <f>COUNTIFS('S3 Regular Season'!Y:Y, "CT", 'S3 Regular Season'!X:X, A70)</f>
        <v>0</v>
      </c>
      <c r="F70" s="71">
        <f>COUNTIFS('S3 Regular Season'!Y:Y, "T", 'S3 Regular Season'!X:X, A70)</f>
        <v>0</v>
      </c>
      <c r="G70" s="71">
        <f> COUNTIFS('S3 Regular Season'!X:X, A70, 'S3 Regular Season'!I:I, 1)</f>
        <v>0</v>
      </c>
      <c r="I70" s="76" t="s">
        <v>81</v>
      </c>
      <c r="J70" s="77">
        <f> SUM(Map_Pick_Bans[Pick])</f>
        <v>0</v>
      </c>
      <c r="K70" s="78" t="s">
        <v>82</v>
      </c>
    </row>
    <row r="71" ht="22.5" customHeight="1">
      <c r="A71" s="69" t="s">
        <v>83</v>
      </c>
      <c r="B71" s="6">
        <f>COUNTIF('S3 Regular Season'!X:X, A71)</f>
        <v>0</v>
      </c>
      <c r="C71" s="6">
        <f>COUNTIF('S3 Regular Season'!U:W, A71)</f>
        <v>0</v>
      </c>
      <c r="D71" s="70">
        <f t="shared" si="1"/>
        <v>0</v>
      </c>
      <c r="E71" s="71">
        <f>COUNTIFS('S3 Regular Season'!Y:Y, "CT", 'S3 Regular Season'!X:X, A71)</f>
        <v>0</v>
      </c>
      <c r="F71" s="71">
        <f>COUNTIFS('S3 Regular Season'!Y:Y, "T", 'S3 Regular Season'!X:X, A71)</f>
        <v>0</v>
      </c>
      <c r="G71" s="71">
        <f> COUNTIFS('S3 Regular Season'!X:X, A71, 'S3 Regular Season'!I:I, 1)</f>
        <v>0</v>
      </c>
    </row>
    <row r="74">
      <c r="A74" s="79"/>
      <c r="B74" s="79"/>
      <c r="C74" s="79"/>
      <c r="D74" s="79"/>
      <c r="E74" s="79"/>
      <c r="F74" s="79"/>
      <c r="G74" s="79"/>
      <c r="H74" s="79"/>
      <c r="I74" s="79"/>
      <c r="J74" s="79"/>
      <c r="K74" s="79"/>
    </row>
    <row r="75">
      <c r="A75" s="79"/>
      <c r="B75" s="79"/>
      <c r="C75" s="79"/>
      <c r="D75" s="79"/>
      <c r="E75" s="79"/>
      <c r="F75" s="79"/>
      <c r="G75" s="79"/>
      <c r="H75" s="79"/>
      <c r="I75" s="79"/>
      <c r="J75" s="79"/>
      <c r="K75" s="79"/>
    </row>
    <row r="76">
      <c r="A76" s="79"/>
      <c r="B76" s="79"/>
      <c r="C76" s="79"/>
      <c r="D76" s="79"/>
      <c r="E76" s="79"/>
      <c r="F76" s="79"/>
      <c r="G76" s="79"/>
      <c r="H76" s="79"/>
      <c r="I76" s="79"/>
      <c r="J76" s="79"/>
      <c r="K76" s="79"/>
    </row>
    <row r="77">
      <c r="A77" s="79"/>
      <c r="B77" s="79"/>
      <c r="C77" s="79"/>
      <c r="D77" s="79"/>
      <c r="E77" s="79"/>
      <c r="F77" s="79"/>
      <c r="G77" s="79"/>
      <c r="H77" s="79"/>
      <c r="I77" s="79"/>
      <c r="J77" s="79"/>
      <c r="K77" s="79"/>
    </row>
    <row r="78">
      <c r="A78" s="79"/>
      <c r="B78" s="79"/>
      <c r="C78" s="79"/>
      <c r="D78" s="79"/>
      <c r="E78" s="79"/>
      <c r="F78" s="79"/>
      <c r="G78" s="79"/>
      <c r="H78" s="79"/>
      <c r="I78" s="79"/>
      <c r="J78" s="79"/>
      <c r="K78" s="79"/>
    </row>
    <row r="79">
      <c r="A79" s="79"/>
      <c r="B79" s="79"/>
      <c r="C79" s="79"/>
      <c r="D79" s="79"/>
      <c r="E79" s="79"/>
      <c r="F79" s="79"/>
      <c r="G79" s="79"/>
      <c r="H79" s="79"/>
      <c r="I79" s="79"/>
      <c r="J79" s="79"/>
      <c r="K79" s="79"/>
    </row>
    <row r="80">
      <c r="A80" s="79"/>
      <c r="B80" s="79"/>
      <c r="C80" s="79"/>
      <c r="D80" s="79"/>
      <c r="E80" s="79"/>
      <c r="F80" s="79"/>
      <c r="G80" s="79"/>
      <c r="H80" s="79"/>
      <c r="I80" s="79"/>
      <c r="J80" s="79"/>
      <c r="K80" s="79"/>
    </row>
    <row r="81">
      <c r="A81" s="79"/>
      <c r="B81" s="79"/>
      <c r="C81" s="79"/>
      <c r="D81" s="79"/>
      <c r="E81" s="79"/>
      <c r="F81" s="79"/>
      <c r="G81" s="79"/>
      <c r="H81" s="79"/>
      <c r="I81" s="79"/>
      <c r="J81" s="79"/>
      <c r="K81" s="79"/>
    </row>
    <row r="82">
      <c r="A82" s="79"/>
      <c r="B82" s="79"/>
      <c r="C82" s="79"/>
      <c r="D82" s="79"/>
      <c r="E82" s="79"/>
      <c r="F82" s="79"/>
      <c r="G82" s="79"/>
      <c r="H82" s="79"/>
      <c r="I82" s="79"/>
      <c r="J82" s="79"/>
      <c r="K82" s="79"/>
    </row>
  </sheetData>
  <mergeCells count="2">
    <mergeCell ref="K34:K35"/>
    <mergeCell ref="K43:K46"/>
  </mergeCells>
  <conditionalFormatting sqref="F2:F14">
    <cfRule type="colorScale" priority="1">
      <colorScale>
        <cfvo type="min"/>
        <cfvo type="max"/>
        <color rgb="FFFFFFFF"/>
        <color rgb="FF57BB8A"/>
      </colorScale>
    </cfRule>
  </conditionalFormatting>
  <conditionalFormatting sqref="C51:C63">
    <cfRule type="colorScale" priority="2">
      <colorScale>
        <cfvo type="percentile" val="0"/>
        <cfvo type="percentile" val="50"/>
        <cfvo type="percentile" val="100"/>
        <color rgb="FFE67C73"/>
        <color rgb="FFFFD666"/>
        <color rgb="FF57BB8A"/>
      </colorScale>
    </cfRule>
  </conditionalFormatting>
  <conditionalFormatting sqref="E2:E14">
    <cfRule type="colorScale" priority="3">
      <colorScale>
        <cfvo type="percentile" val="0"/>
        <cfvo type="percentile" val="50"/>
        <cfvo type="percentile" val="100"/>
        <color rgb="FFE67C73"/>
        <color rgb="FFFFD666"/>
        <color rgb="FF57BB8A"/>
      </colorScale>
    </cfRule>
  </conditionalFormatting>
  <conditionalFormatting sqref="G2:G14">
    <cfRule type="cellIs" dxfId="8" priority="4" operator="greaterThan">
      <formula>0</formula>
    </cfRule>
  </conditionalFormatting>
  <conditionalFormatting sqref="G2:G14">
    <cfRule type="cellIs" dxfId="9" priority="5" operator="lessThan">
      <formula>0</formula>
    </cfRule>
  </conditionalFormatting>
  <conditionalFormatting sqref="D51:D63">
    <cfRule type="colorScale" priority="6">
      <colorScale>
        <cfvo type="min"/>
        <cfvo type="percentile" val="50"/>
        <cfvo type="max"/>
        <color rgb="FFEA4335"/>
        <color rgb="FFFFD666"/>
        <color rgb="FF34A853"/>
      </colorScale>
    </cfRule>
  </conditionalFormatting>
  <dataValidations>
    <dataValidation type="custom" allowBlank="1" showDropDown="1" sqref="B18:C30 G18:J30 E34:F46 N34:O46 C51:J63">
      <formula1>AND(ISNUMBER(B18),(NOT(OR(NOT(ISERROR(DATEVALUE(B18))), AND(ISNUMBER(B18), LEFT(CELL("format", B18))="D")))))</formula1>
    </dataValidation>
  </dataValidations>
  <drawing r:id="rId1"/>
  <tableParts count="9">
    <tablePart r:id="rId11"/>
    <tablePart r:id="rId12"/>
    <tablePart r:id="rId13"/>
    <tablePart r:id="rId14"/>
    <tablePart r:id="rId15"/>
    <tablePart r:id="rId16"/>
    <tablePart r:id="rId17"/>
    <tablePart r:id="rId18"/>
    <tablePart r:id="rId1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4" width="5.5"/>
    <col customWidth="1" min="5" max="5" width="8.13"/>
    <col customWidth="1" min="6" max="6" width="8.0"/>
    <col customWidth="1" min="7" max="7" width="10.5"/>
    <col customWidth="1" min="8" max="8" width="13.75"/>
    <col customWidth="1" hidden="1" min="9" max="9" width="8.0"/>
    <col customWidth="1" min="12" max="14" width="5.5"/>
    <col customWidth="1" min="15" max="16" width="8.13"/>
    <col customWidth="1" min="17" max="17" width="11.0"/>
    <col customWidth="1" min="18" max="18" width="14.88"/>
    <col customWidth="1" hidden="1" min="19" max="19" width="8.0"/>
    <col customWidth="1" min="21" max="21" width="14.25"/>
    <col customWidth="1" min="22" max="22" width="14.63"/>
    <col customWidth="1" min="23" max="23" width="14.88"/>
    <col customWidth="1" min="24" max="24" width="14.63"/>
    <col customWidth="1" min="25" max="25" width="14.25"/>
    <col customWidth="1" min="27" max="27" width="12.88"/>
  </cols>
  <sheetData>
    <row r="1">
      <c r="A1" s="80"/>
      <c r="B1" s="81"/>
      <c r="C1" s="81"/>
      <c r="D1" s="81"/>
      <c r="E1" s="81"/>
      <c r="F1" s="81"/>
      <c r="G1" s="81"/>
      <c r="H1" s="81"/>
      <c r="I1" s="81"/>
      <c r="J1" s="80" t="s">
        <v>84</v>
      </c>
      <c r="K1" s="81"/>
      <c r="L1" s="81"/>
      <c r="M1" s="80" t="s">
        <v>85</v>
      </c>
      <c r="N1" s="81"/>
      <c r="O1" s="80" t="s">
        <v>22</v>
      </c>
      <c r="P1" s="81"/>
      <c r="Q1" s="81"/>
      <c r="R1" s="81"/>
      <c r="S1" s="81"/>
      <c r="T1" s="80" t="s">
        <v>84</v>
      </c>
      <c r="U1" s="81"/>
      <c r="V1" s="81"/>
      <c r="W1" s="81"/>
      <c r="X1" s="81"/>
      <c r="Y1" s="81"/>
      <c r="Z1" s="82"/>
      <c r="AA1" s="82"/>
      <c r="AB1" s="82"/>
      <c r="AC1" s="82"/>
      <c r="AD1" s="82"/>
      <c r="AE1" s="82"/>
      <c r="AF1" s="82"/>
      <c r="AG1" s="82"/>
      <c r="AH1" s="82"/>
      <c r="AI1" s="82"/>
      <c r="AJ1" s="82"/>
      <c r="AK1" s="82"/>
      <c r="AL1" s="83"/>
      <c r="AM1" s="83"/>
      <c r="AN1" s="83"/>
      <c r="AO1" s="83"/>
      <c r="AP1" s="83"/>
      <c r="AQ1" s="83"/>
      <c r="AR1" s="83"/>
      <c r="AS1" s="83"/>
      <c r="AT1" s="83"/>
      <c r="AU1" s="83"/>
      <c r="AV1" s="83"/>
      <c r="AW1" s="83"/>
      <c r="AX1" s="83"/>
    </row>
    <row r="2">
      <c r="A2" s="84">
        <v>4.0</v>
      </c>
      <c r="D2" s="85" t="s">
        <v>86</v>
      </c>
      <c r="J2" s="86" t="s">
        <v>87</v>
      </c>
      <c r="AA2" s="82"/>
      <c r="AB2" s="82"/>
      <c r="AC2" s="82"/>
      <c r="AD2" s="82"/>
      <c r="AE2" s="82"/>
      <c r="AF2" s="82"/>
      <c r="AG2" s="82"/>
      <c r="AH2" s="82"/>
      <c r="AI2" s="82"/>
      <c r="AJ2" s="82"/>
      <c r="AK2" s="82"/>
      <c r="AL2" s="79"/>
      <c r="AM2" s="79"/>
      <c r="AN2" s="79"/>
      <c r="AO2" s="79"/>
      <c r="AP2" s="79"/>
      <c r="AQ2" s="79"/>
      <c r="AR2" s="79"/>
      <c r="AS2" s="79"/>
      <c r="AT2" s="79"/>
      <c r="AU2" s="79"/>
      <c r="AV2" s="79"/>
      <c r="AW2" s="79"/>
      <c r="AX2" s="79"/>
    </row>
    <row r="3">
      <c r="J3" s="87"/>
      <c r="V3" s="88" t="s">
        <v>88</v>
      </c>
      <c r="AA3" s="82"/>
      <c r="AB3" s="82"/>
      <c r="AC3" s="82"/>
      <c r="AD3" s="82"/>
      <c r="AE3" s="82"/>
      <c r="AF3" s="82"/>
      <c r="AG3" s="82"/>
      <c r="AH3" s="82"/>
      <c r="AI3" s="82"/>
      <c r="AJ3" s="82"/>
      <c r="AK3" s="82"/>
      <c r="AL3" s="89"/>
      <c r="AM3" s="89"/>
      <c r="AN3" s="89"/>
      <c r="AO3" s="89"/>
      <c r="AP3" s="89"/>
      <c r="AQ3" s="89"/>
      <c r="AR3" s="89"/>
      <c r="AS3" s="89"/>
      <c r="AT3" s="89"/>
      <c r="AU3" s="89"/>
      <c r="AV3" s="89"/>
      <c r="AW3" s="89"/>
      <c r="AX3" s="89"/>
    </row>
    <row r="4" ht="22.5" customHeight="1">
      <c r="A4" s="2" t="s">
        <v>89</v>
      </c>
      <c r="B4" s="2" t="s">
        <v>90</v>
      </c>
      <c r="C4" s="2" t="s">
        <v>91</v>
      </c>
      <c r="D4" s="2" t="s">
        <v>92</v>
      </c>
      <c r="E4" s="2" t="s">
        <v>5</v>
      </c>
      <c r="F4" s="90" t="s">
        <v>93</v>
      </c>
      <c r="G4" s="2" t="s">
        <v>94</v>
      </c>
      <c r="H4" s="90" t="s">
        <v>46</v>
      </c>
      <c r="I4" s="2" t="s">
        <v>95</v>
      </c>
      <c r="J4" s="91"/>
      <c r="K4" s="2" t="s">
        <v>96</v>
      </c>
      <c r="L4" s="2" t="s">
        <v>90</v>
      </c>
      <c r="M4" s="2" t="s">
        <v>91</v>
      </c>
      <c r="N4" s="2" t="s">
        <v>92</v>
      </c>
      <c r="O4" s="2" t="s">
        <v>5</v>
      </c>
      <c r="P4" s="90" t="s">
        <v>93</v>
      </c>
      <c r="Q4" s="2" t="s">
        <v>94</v>
      </c>
      <c r="R4" s="90" t="s">
        <v>46</v>
      </c>
      <c r="S4" s="2" t="s">
        <v>95</v>
      </c>
      <c r="U4" s="2" t="s">
        <v>97</v>
      </c>
      <c r="V4" s="2" t="s">
        <v>98</v>
      </c>
      <c r="W4" s="2" t="s">
        <v>99</v>
      </c>
      <c r="X4" s="2" t="s">
        <v>100</v>
      </c>
      <c r="Y4" s="2" t="s">
        <v>101</v>
      </c>
      <c r="AA4" s="82"/>
      <c r="AB4" s="82"/>
      <c r="AC4" s="82"/>
      <c r="AD4" s="82"/>
      <c r="AE4" s="82"/>
      <c r="AF4" s="82"/>
      <c r="AG4" s="82"/>
      <c r="AH4" s="82"/>
      <c r="AI4" s="82"/>
      <c r="AJ4" s="82"/>
      <c r="AK4" s="82"/>
      <c r="AL4" s="92"/>
      <c r="AM4" s="92"/>
      <c r="AN4" s="92"/>
      <c r="AO4" s="92"/>
      <c r="AP4" s="92"/>
      <c r="AQ4" s="92"/>
      <c r="AR4" s="92"/>
      <c r="AS4" s="92"/>
      <c r="AT4" s="92"/>
      <c r="AU4" s="92"/>
      <c r="AV4" s="92"/>
      <c r="AW4" s="92"/>
      <c r="AX4" s="92"/>
    </row>
    <row r="5" ht="22.5" customHeight="1">
      <c r="A5" s="10" t="s">
        <v>26</v>
      </c>
      <c r="G5" s="93" t="str">
        <f>IFERROR(__xludf.DUMMYFUNCTION("IFERROR(SUM(SPLIT(J3, ""-"")))"),"")</f>
        <v/>
      </c>
      <c r="H5" s="93" t="str">
        <f>IFERROR(__xludf.DUMMYFUNCTION("IFERROR(INDEX(SPLIT($J3, ""-""), 0, 1))"),"")</f>
        <v/>
      </c>
      <c r="J5" s="91"/>
      <c r="K5" s="10" t="s">
        <v>30</v>
      </c>
      <c r="Q5" s="93" t="str">
        <f>IFERROR(__xludf.DUMMYFUNCTION("IFERROR(SUM(SPLIT(J3, ""-"")))"),"")</f>
        <v/>
      </c>
      <c r="R5" s="93" t="str">
        <f>IFERROR(__xludf.DUMMYFUNCTION("IFERROR(INDEX(SPLIT($J3, ""-""), 0, 2))"),"")</f>
        <v/>
      </c>
      <c r="U5" s="94"/>
      <c r="V5" s="94"/>
      <c r="W5" s="94"/>
      <c r="X5" s="94"/>
      <c r="Y5" s="94"/>
      <c r="AA5" s="82"/>
      <c r="AB5" s="82"/>
      <c r="AC5" s="82"/>
      <c r="AD5" s="82"/>
      <c r="AE5" s="82"/>
      <c r="AF5" s="82"/>
      <c r="AG5" s="82"/>
      <c r="AH5" s="82"/>
      <c r="AI5" s="82"/>
      <c r="AJ5" s="82"/>
      <c r="AK5" s="82"/>
      <c r="AL5" s="92"/>
      <c r="AM5" s="92"/>
      <c r="AN5" s="92"/>
      <c r="AO5" s="92"/>
      <c r="AP5" s="92"/>
      <c r="AQ5" s="92"/>
      <c r="AR5" s="92"/>
      <c r="AS5" s="92"/>
      <c r="AT5" s="92"/>
      <c r="AU5" s="92"/>
      <c r="AV5" s="92"/>
      <c r="AW5" s="92"/>
      <c r="AX5" s="92"/>
    </row>
    <row r="6" ht="22.5" customHeight="1">
      <c r="A6" s="10" t="s">
        <v>20</v>
      </c>
      <c r="G6" s="95" t="str">
        <f>IFERROR(__xludf.DUMMYFUNCTION("IFERROR(SUM(SPLIT(J3, ""-"")))"),"")</f>
        <v/>
      </c>
      <c r="H6" s="95" t="str">
        <f>IFERROR(__xludf.DUMMYFUNCTION("IFERROR(INDEX(SPLIT($J3, ""-""), 0, 1))"),"")</f>
        <v/>
      </c>
      <c r="J6" s="91"/>
      <c r="K6" s="10" t="s">
        <v>10</v>
      </c>
      <c r="Q6" s="96" t="str">
        <f>IFERROR(__xludf.DUMMYFUNCTION("IFERROR(SUM(SPLIT(J3, ""-"")))"),"")</f>
        <v/>
      </c>
      <c r="R6" s="96" t="str">
        <f>IFERROR(__xludf.DUMMYFUNCTION("IFERROR(INDEX(SPLIT($J3, ""-""), 0, 2))"),"")</f>
        <v/>
      </c>
      <c r="AB6" s="82"/>
      <c r="AC6" s="82"/>
      <c r="AD6" s="82"/>
      <c r="AE6" s="82"/>
      <c r="AF6" s="82"/>
      <c r="AG6" s="82"/>
      <c r="AH6" s="82"/>
      <c r="AI6" s="82"/>
      <c r="AJ6" s="82"/>
      <c r="AK6" s="82"/>
      <c r="AL6" s="92"/>
      <c r="AM6" s="92"/>
      <c r="AN6" s="92"/>
      <c r="AO6" s="92"/>
      <c r="AP6" s="92"/>
      <c r="AQ6" s="92"/>
      <c r="AR6" s="92"/>
      <c r="AS6" s="92"/>
      <c r="AT6" s="92"/>
      <c r="AU6" s="92"/>
      <c r="AV6" s="92"/>
      <c r="AW6" s="92"/>
      <c r="AX6" s="92"/>
    </row>
    <row r="7">
      <c r="A7" s="97"/>
      <c r="B7" s="97"/>
      <c r="C7" s="97"/>
      <c r="D7" s="97"/>
      <c r="E7" s="97"/>
      <c r="F7" s="97"/>
      <c r="G7" s="97"/>
      <c r="H7" s="97"/>
      <c r="I7" s="97"/>
      <c r="J7" s="98"/>
      <c r="K7" s="97"/>
      <c r="L7" s="97"/>
      <c r="M7" s="97"/>
      <c r="N7" s="97"/>
      <c r="O7" s="97"/>
      <c r="P7" s="97"/>
      <c r="Q7" s="97"/>
      <c r="R7" s="97"/>
      <c r="S7" s="97"/>
      <c r="T7" s="97"/>
      <c r="U7" s="97"/>
      <c r="V7" s="97"/>
      <c r="W7" s="97"/>
      <c r="X7" s="97"/>
      <c r="Y7" s="97"/>
      <c r="AA7" s="82"/>
      <c r="AB7" s="82"/>
      <c r="AC7" s="82"/>
      <c r="AD7" s="82"/>
      <c r="AE7" s="82"/>
      <c r="AF7" s="82"/>
      <c r="AG7" s="82"/>
      <c r="AH7" s="82"/>
      <c r="AI7" s="82"/>
      <c r="AJ7" s="82"/>
      <c r="AK7" s="82"/>
      <c r="AL7" s="92"/>
      <c r="AM7" s="92"/>
      <c r="AN7" s="92"/>
      <c r="AO7" s="92"/>
      <c r="AP7" s="92"/>
      <c r="AQ7" s="92"/>
      <c r="AR7" s="92"/>
      <c r="AS7" s="92"/>
      <c r="AT7" s="92"/>
      <c r="AU7" s="92"/>
      <c r="AV7" s="92"/>
      <c r="AW7" s="92"/>
      <c r="AX7" s="92"/>
    </row>
    <row r="8">
      <c r="A8" s="84">
        <v>5.0</v>
      </c>
      <c r="J8" s="86" t="s">
        <v>87</v>
      </c>
      <c r="AA8" s="82"/>
      <c r="AB8" s="82"/>
      <c r="AC8" s="82"/>
      <c r="AD8" s="82"/>
      <c r="AE8" s="82"/>
      <c r="AF8" s="82"/>
      <c r="AG8" s="82"/>
      <c r="AH8" s="82"/>
      <c r="AI8" s="82"/>
      <c r="AJ8" s="82"/>
      <c r="AK8" s="82"/>
      <c r="AL8" s="92"/>
      <c r="AM8" s="92"/>
      <c r="AN8" s="92"/>
      <c r="AO8" s="92"/>
      <c r="AP8" s="92"/>
      <c r="AQ8" s="92"/>
      <c r="AR8" s="92"/>
      <c r="AS8" s="92"/>
      <c r="AT8" s="92"/>
      <c r="AU8" s="92"/>
      <c r="AV8" s="92"/>
      <c r="AW8" s="92"/>
      <c r="AX8" s="92"/>
    </row>
    <row r="9">
      <c r="J9" s="87"/>
      <c r="AA9" s="82"/>
      <c r="AB9" s="82"/>
      <c r="AC9" s="82"/>
      <c r="AD9" s="82"/>
      <c r="AE9" s="82"/>
      <c r="AF9" s="82"/>
      <c r="AG9" s="82"/>
      <c r="AH9" s="82"/>
      <c r="AI9" s="82"/>
      <c r="AJ9" s="82"/>
      <c r="AK9" s="82"/>
      <c r="AL9" s="92"/>
      <c r="AM9" s="92"/>
      <c r="AN9" s="92"/>
      <c r="AO9" s="92"/>
      <c r="AP9" s="92"/>
      <c r="AQ9" s="92"/>
      <c r="AR9" s="92"/>
      <c r="AS9" s="92"/>
      <c r="AT9" s="92"/>
      <c r="AU9" s="92"/>
      <c r="AV9" s="92"/>
      <c r="AW9" s="92"/>
      <c r="AX9" s="92"/>
    </row>
    <row r="10">
      <c r="F10" s="99"/>
      <c r="H10" s="99"/>
      <c r="J10" s="91"/>
      <c r="P10" s="99"/>
      <c r="R10" s="99"/>
      <c r="V10" s="88" t="s">
        <v>88</v>
      </c>
      <c r="AA10" s="82"/>
      <c r="AB10" s="82"/>
      <c r="AC10" s="82"/>
      <c r="AD10" s="82"/>
      <c r="AE10" s="82"/>
      <c r="AF10" s="82"/>
      <c r="AG10" s="82"/>
      <c r="AH10" s="82"/>
      <c r="AI10" s="82"/>
      <c r="AJ10" s="82"/>
      <c r="AK10" s="82"/>
      <c r="AL10" s="92"/>
      <c r="AM10" s="92"/>
      <c r="AN10" s="92"/>
      <c r="AO10" s="92"/>
      <c r="AP10" s="92"/>
      <c r="AQ10" s="92"/>
      <c r="AR10" s="92"/>
      <c r="AS10" s="92"/>
      <c r="AT10" s="92"/>
      <c r="AU10" s="92"/>
      <c r="AV10" s="92"/>
      <c r="AW10" s="92"/>
      <c r="AX10" s="92"/>
    </row>
    <row r="11" ht="22.5" customHeight="1">
      <c r="A11" s="2" t="s">
        <v>89</v>
      </c>
      <c r="B11" s="2" t="s">
        <v>90</v>
      </c>
      <c r="C11" s="2" t="s">
        <v>91</v>
      </c>
      <c r="D11" s="2" t="s">
        <v>92</v>
      </c>
      <c r="E11" s="2" t="s">
        <v>5</v>
      </c>
      <c r="F11" s="90" t="s">
        <v>93</v>
      </c>
      <c r="G11" s="2" t="s">
        <v>94</v>
      </c>
      <c r="H11" s="90" t="s">
        <v>46</v>
      </c>
      <c r="I11" s="13" t="s">
        <v>102</v>
      </c>
      <c r="J11" s="91"/>
      <c r="K11" s="2" t="s">
        <v>96</v>
      </c>
      <c r="L11" s="2" t="s">
        <v>90</v>
      </c>
      <c r="M11" s="2" t="s">
        <v>91</v>
      </c>
      <c r="N11" s="2" t="s">
        <v>92</v>
      </c>
      <c r="O11" s="2" t="s">
        <v>5</v>
      </c>
      <c r="P11" s="90" t="s">
        <v>93</v>
      </c>
      <c r="Q11" s="2" t="s">
        <v>94</v>
      </c>
      <c r="R11" s="90" t="s">
        <v>46</v>
      </c>
      <c r="S11" s="13" t="s">
        <v>102</v>
      </c>
      <c r="U11" s="2" t="s">
        <v>97</v>
      </c>
      <c r="V11" s="2" t="s">
        <v>98</v>
      </c>
      <c r="W11" s="2" t="s">
        <v>99</v>
      </c>
      <c r="X11" s="2" t="s">
        <v>100</v>
      </c>
      <c r="Y11" s="2" t="s">
        <v>101</v>
      </c>
      <c r="AA11" s="82"/>
      <c r="AB11" s="82"/>
      <c r="AC11" s="82"/>
      <c r="AD11" s="82"/>
      <c r="AE11" s="82"/>
      <c r="AF11" s="82"/>
      <c r="AG11" s="82"/>
      <c r="AH11" s="82"/>
      <c r="AI11" s="82"/>
      <c r="AJ11" s="82"/>
      <c r="AK11" s="82"/>
      <c r="AL11" s="92"/>
      <c r="AM11" s="92"/>
      <c r="AN11" s="92"/>
      <c r="AO11" s="92"/>
      <c r="AP11" s="92"/>
      <c r="AQ11" s="92"/>
      <c r="AR11" s="92"/>
      <c r="AS11" s="92"/>
      <c r="AT11" s="92"/>
      <c r="AU11" s="92"/>
      <c r="AV11" s="92"/>
      <c r="AW11" s="92"/>
      <c r="AX11" s="92"/>
    </row>
    <row r="12" ht="22.5" customHeight="1">
      <c r="A12" s="10" t="s">
        <v>12</v>
      </c>
      <c r="G12" s="93" t="str">
        <f>IFERROR(__xludf.DUMMYFUNCTION("IFERROR(SUM(SPLIT(J9, ""-"")))"),"")</f>
        <v/>
      </c>
      <c r="H12" s="93" t="str">
        <f>IFERROR(__xludf.DUMMYFUNCTION("IFERROR(INDEX(SPLIT($J9, ""-""), 0, 1))"),"")</f>
        <v/>
      </c>
      <c r="J12" s="91"/>
      <c r="K12" s="10" t="s">
        <v>14</v>
      </c>
      <c r="L12" s="100"/>
      <c r="Q12" s="93" t="str">
        <f>IFERROR(__xludf.DUMMYFUNCTION("IFERROR(SUM(SPLIT(J9, ""-"")))"),"")</f>
        <v/>
      </c>
      <c r="R12" s="93" t="str">
        <f>IFERROR(__xludf.DUMMYFUNCTION("IFERROR(INDEX(SPLIT($J9, ""-""), 0, 2))"),"")</f>
        <v/>
      </c>
      <c r="U12" s="94"/>
      <c r="V12" s="94"/>
      <c r="W12" s="94"/>
      <c r="X12" s="94"/>
      <c r="Y12" s="94"/>
      <c r="AA12" s="82"/>
      <c r="AB12" s="82"/>
      <c r="AC12" s="82"/>
      <c r="AD12" s="82"/>
      <c r="AE12" s="82"/>
      <c r="AF12" s="82"/>
      <c r="AG12" s="82"/>
      <c r="AH12" s="82"/>
      <c r="AI12" s="82"/>
      <c r="AJ12" s="82"/>
      <c r="AK12" s="82"/>
      <c r="AL12" s="92"/>
      <c r="AM12" s="92"/>
      <c r="AN12" s="92"/>
      <c r="AO12" s="92"/>
      <c r="AP12" s="92"/>
      <c r="AQ12" s="92"/>
      <c r="AR12" s="92"/>
      <c r="AS12" s="92"/>
      <c r="AT12" s="92"/>
      <c r="AU12" s="92"/>
      <c r="AV12" s="92"/>
      <c r="AW12" s="92"/>
      <c r="AX12" s="92"/>
    </row>
    <row r="13" ht="22.5" customHeight="1">
      <c r="A13" s="10" t="s">
        <v>18</v>
      </c>
      <c r="G13" s="95" t="str">
        <f>IFERROR(__xludf.DUMMYFUNCTION("IFERROR(SUM(SPLIT(J9, ""-"")))"),"")</f>
        <v/>
      </c>
      <c r="H13" s="95" t="str">
        <f>IFERROR(__xludf.DUMMYFUNCTION("IFERROR(INDEX(SPLIT($J9, ""-""), 0, 1))"),"")</f>
        <v/>
      </c>
      <c r="J13" s="91"/>
      <c r="K13" s="10" t="s">
        <v>24</v>
      </c>
      <c r="Q13" s="96" t="str">
        <f>IFERROR(__xludf.DUMMYFUNCTION("IFERROR(SUM(SPLIT(J9, ""-"")))"),"")</f>
        <v/>
      </c>
      <c r="R13" s="96" t="str">
        <f>IFERROR(__xludf.DUMMYFUNCTION("IFERROR(INDEX(SPLIT($J9, ""-""), 0, 2))"),"")</f>
        <v/>
      </c>
      <c r="AA13" s="82"/>
      <c r="AB13" s="82"/>
      <c r="AC13" s="82"/>
      <c r="AD13" s="82"/>
      <c r="AE13" s="82"/>
      <c r="AF13" s="82"/>
      <c r="AG13" s="82"/>
      <c r="AH13" s="82"/>
      <c r="AI13" s="82"/>
      <c r="AJ13" s="82"/>
      <c r="AK13" s="82"/>
      <c r="AL13" s="101"/>
      <c r="AM13" s="101"/>
      <c r="AN13" s="101"/>
      <c r="AO13" s="101"/>
      <c r="AP13" s="101"/>
      <c r="AQ13" s="101"/>
      <c r="AR13" s="101"/>
      <c r="AS13" s="101"/>
      <c r="AT13" s="101"/>
      <c r="AU13" s="101"/>
      <c r="AV13" s="101"/>
      <c r="AW13" s="101"/>
      <c r="AX13" s="101"/>
    </row>
    <row r="14">
      <c r="J14" s="91"/>
      <c r="AA14" s="82"/>
      <c r="AB14" s="82"/>
      <c r="AC14" s="82"/>
      <c r="AD14" s="82"/>
      <c r="AE14" s="82"/>
      <c r="AF14" s="82"/>
      <c r="AG14" s="82"/>
      <c r="AH14" s="82"/>
      <c r="AI14" s="82"/>
      <c r="AJ14" s="82"/>
      <c r="AK14" s="82"/>
      <c r="AL14" s="79"/>
      <c r="AM14" s="79"/>
      <c r="AN14" s="79"/>
      <c r="AO14" s="79"/>
      <c r="AP14" s="79"/>
      <c r="AQ14" s="79"/>
      <c r="AR14" s="79"/>
      <c r="AS14" s="79"/>
      <c r="AT14" s="79"/>
      <c r="AU14" s="79"/>
      <c r="AV14" s="79"/>
      <c r="AW14" s="79"/>
      <c r="AX14" s="79"/>
    </row>
    <row r="15">
      <c r="A15" s="102"/>
      <c r="B15" s="102"/>
      <c r="C15" s="102"/>
      <c r="D15" s="102"/>
      <c r="E15" s="102"/>
      <c r="F15" s="102"/>
      <c r="G15" s="102"/>
      <c r="H15" s="102"/>
      <c r="I15" s="102"/>
      <c r="J15" s="102"/>
      <c r="K15" s="102"/>
      <c r="L15" s="102"/>
      <c r="M15" s="102"/>
      <c r="N15" s="102"/>
      <c r="O15" s="102"/>
      <c r="P15" s="102"/>
      <c r="Q15" s="102"/>
      <c r="R15" s="102"/>
      <c r="S15" s="102"/>
      <c r="T15" s="102"/>
      <c r="U15" s="102"/>
      <c r="V15" s="102"/>
      <c r="W15" s="102"/>
      <c r="X15" s="102"/>
      <c r="Y15" s="102"/>
      <c r="AA15" s="82"/>
      <c r="AB15" s="82"/>
      <c r="AC15" s="82"/>
      <c r="AD15" s="82"/>
      <c r="AE15" s="82"/>
      <c r="AF15" s="82"/>
      <c r="AG15" s="82"/>
      <c r="AH15" s="82"/>
      <c r="AI15" s="82"/>
      <c r="AJ15" s="82"/>
      <c r="AK15" s="82"/>
      <c r="AL15" s="79"/>
      <c r="AM15" s="79"/>
      <c r="AN15" s="79"/>
      <c r="AO15" s="79"/>
      <c r="AP15" s="79"/>
      <c r="AQ15" s="79"/>
      <c r="AR15" s="79"/>
      <c r="AS15" s="79"/>
      <c r="AT15" s="79"/>
      <c r="AU15" s="79"/>
      <c r="AV15" s="79"/>
      <c r="AW15" s="79"/>
      <c r="AX15" s="79"/>
    </row>
    <row r="16">
      <c r="A16" s="103">
        <v>6.0</v>
      </c>
      <c r="B16" s="104"/>
      <c r="C16" s="104"/>
      <c r="D16" s="104"/>
      <c r="E16" s="104"/>
      <c r="F16" s="104"/>
      <c r="G16" s="104"/>
      <c r="H16" s="104"/>
      <c r="I16" s="104"/>
      <c r="J16" s="105" t="s">
        <v>87</v>
      </c>
      <c r="K16" s="104"/>
      <c r="L16" s="104"/>
      <c r="M16" s="104"/>
      <c r="N16" s="104"/>
      <c r="O16" s="104"/>
      <c r="P16" s="104"/>
      <c r="Q16" s="104"/>
      <c r="R16" s="104"/>
      <c r="S16" s="104"/>
      <c r="T16" s="104"/>
      <c r="U16" s="104"/>
      <c r="V16" s="104"/>
      <c r="W16" s="104"/>
      <c r="X16" s="104"/>
      <c r="Y16" s="104"/>
      <c r="AL16" s="79"/>
      <c r="AM16" s="79"/>
      <c r="AN16" s="79"/>
      <c r="AO16" s="79"/>
      <c r="AP16" s="79"/>
      <c r="AQ16" s="79"/>
      <c r="AR16" s="79"/>
      <c r="AS16" s="79"/>
      <c r="AT16" s="79"/>
      <c r="AU16" s="79"/>
      <c r="AV16" s="79"/>
      <c r="AW16" s="79"/>
      <c r="AX16" s="79"/>
    </row>
    <row r="17">
      <c r="A17" s="104"/>
      <c r="B17" s="104"/>
      <c r="C17" s="104"/>
      <c r="D17" s="104"/>
      <c r="E17" s="104"/>
      <c r="F17" s="104"/>
      <c r="G17" s="104"/>
      <c r="H17" s="104"/>
      <c r="I17" s="104"/>
      <c r="J17" s="87"/>
      <c r="K17" s="104"/>
      <c r="L17" s="104"/>
      <c r="M17" s="104"/>
      <c r="N17" s="104"/>
      <c r="O17" s="104"/>
      <c r="P17" s="104"/>
      <c r="Q17" s="104"/>
      <c r="R17" s="104"/>
      <c r="S17" s="104"/>
      <c r="T17" s="104"/>
      <c r="U17" s="104"/>
      <c r="V17" s="104"/>
      <c r="W17" s="104"/>
      <c r="X17" s="104"/>
      <c r="Y17" s="104"/>
      <c r="AL17" s="79"/>
      <c r="AM17" s="79"/>
      <c r="AN17" s="79"/>
      <c r="AO17" s="79"/>
      <c r="AP17" s="79"/>
      <c r="AQ17" s="79"/>
      <c r="AR17" s="79"/>
      <c r="AS17" s="79"/>
      <c r="AT17" s="79"/>
      <c r="AU17" s="79"/>
      <c r="AV17" s="79"/>
      <c r="AW17" s="79"/>
      <c r="AX17" s="79"/>
    </row>
    <row r="18">
      <c r="A18" s="104"/>
      <c r="B18" s="104"/>
      <c r="C18" s="104"/>
      <c r="D18" s="104"/>
      <c r="E18" s="104"/>
      <c r="F18" s="106"/>
      <c r="G18" s="104"/>
      <c r="H18" s="106"/>
      <c r="I18" s="104"/>
      <c r="J18" s="104"/>
      <c r="K18" s="104"/>
      <c r="L18" s="104"/>
      <c r="M18" s="104"/>
      <c r="N18" s="104"/>
      <c r="O18" s="104"/>
      <c r="P18" s="106"/>
      <c r="Q18" s="104"/>
      <c r="R18" s="106"/>
      <c r="S18" s="104"/>
      <c r="T18" s="104"/>
      <c r="U18" s="104"/>
      <c r="V18" s="88" t="s">
        <v>88</v>
      </c>
      <c r="W18" s="104"/>
      <c r="X18" s="104"/>
      <c r="Y18" s="104"/>
      <c r="AA18" s="107"/>
      <c r="AB18" s="107"/>
      <c r="AC18" s="107"/>
      <c r="AD18" s="107"/>
      <c r="AL18" s="79"/>
      <c r="AM18" s="79"/>
      <c r="AN18" s="79"/>
      <c r="AO18" s="79"/>
      <c r="AP18" s="79"/>
      <c r="AQ18" s="79"/>
      <c r="AR18" s="79"/>
      <c r="AS18" s="79"/>
      <c r="AT18" s="79"/>
      <c r="AU18" s="79"/>
      <c r="AV18" s="79"/>
      <c r="AW18" s="79"/>
      <c r="AX18" s="79"/>
    </row>
    <row r="19" ht="22.5" customHeight="1">
      <c r="A19" s="2" t="s">
        <v>89</v>
      </c>
      <c r="B19" s="2" t="s">
        <v>90</v>
      </c>
      <c r="C19" s="2" t="s">
        <v>91</v>
      </c>
      <c r="D19" s="2" t="s">
        <v>92</v>
      </c>
      <c r="E19" s="2" t="s">
        <v>5</v>
      </c>
      <c r="F19" s="90" t="s">
        <v>93</v>
      </c>
      <c r="G19" s="2" t="s">
        <v>94</v>
      </c>
      <c r="H19" s="90" t="s">
        <v>46</v>
      </c>
      <c r="I19" s="108" t="s">
        <v>102</v>
      </c>
      <c r="J19" s="104"/>
      <c r="K19" s="2" t="s">
        <v>96</v>
      </c>
      <c r="L19" s="2" t="s">
        <v>90</v>
      </c>
      <c r="M19" s="2" t="s">
        <v>91</v>
      </c>
      <c r="N19" s="2" t="s">
        <v>92</v>
      </c>
      <c r="O19" s="2" t="s">
        <v>5</v>
      </c>
      <c r="P19" s="90" t="s">
        <v>93</v>
      </c>
      <c r="Q19" s="2" t="s">
        <v>94</v>
      </c>
      <c r="R19" s="90" t="s">
        <v>46</v>
      </c>
      <c r="S19" s="108" t="s">
        <v>102</v>
      </c>
      <c r="T19" s="104"/>
      <c r="U19" s="2" t="s">
        <v>97</v>
      </c>
      <c r="V19" s="2" t="s">
        <v>98</v>
      </c>
      <c r="W19" s="2" t="s">
        <v>99</v>
      </c>
      <c r="X19" s="2" t="s">
        <v>100</v>
      </c>
      <c r="Y19" s="2" t="s">
        <v>101</v>
      </c>
      <c r="AL19" s="79"/>
      <c r="AM19" s="79"/>
      <c r="AN19" s="79"/>
      <c r="AO19" s="79"/>
      <c r="AP19" s="79"/>
      <c r="AQ19" s="79"/>
      <c r="AR19" s="79"/>
      <c r="AS19" s="79"/>
      <c r="AT19" s="79"/>
      <c r="AU19" s="79"/>
      <c r="AV19" s="79"/>
      <c r="AW19" s="79"/>
      <c r="AX19" s="79"/>
    </row>
    <row r="20" ht="22.5" customHeight="1">
      <c r="A20" s="10" t="s">
        <v>31</v>
      </c>
      <c r="G20" s="93" t="str">
        <f>IFERROR(__xludf.DUMMYFUNCTION("IFERROR(SUM(SPLIT(J17, ""-"")))"),"")</f>
        <v/>
      </c>
      <c r="H20" s="93" t="str">
        <f>IFERROR(__xludf.DUMMYFUNCTION("IFERROR(INDEX(SPLIT($J17, ""-""), 0, 1))"),"")</f>
        <v/>
      </c>
      <c r="J20" s="91"/>
      <c r="K20" s="10" t="s">
        <v>11</v>
      </c>
      <c r="Q20" s="93" t="str">
        <f>IFERROR(__xludf.DUMMYFUNCTION("IFERROR(SUM(SPLIT(J17, ""-"")))"),"")</f>
        <v/>
      </c>
      <c r="R20" s="93" t="str">
        <f>IFERROR(__xludf.DUMMYFUNCTION("IFERROR(INDEX(SPLIT($J17, ""-""), 0, 2))"),"")</f>
        <v/>
      </c>
      <c r="S20" s="109"/>
      <c r="T20" s="104"/>
      <c r="U20" s="94"/>
      <c r="V20" s="94"/>
      <c r="W20" s="94"/>
      <c r="X20" s="94"/>
      <c r="Y20" s="94"/>
    </row>
    <row r="21" ht="22.5" customHeight="1">
      <c r="A21" s="10" t="s">
        <v>28</v>
      </c>
      <c r="G21" s="95" t="str">
        <f>IFERROR(__xludf.DUMMYFUNCTION("IFERROR(SUM(SPLIT(J17, ""-"")))"),"")</f>
        <v/>
      </c>
      <c r="H21" s="95" t="str">
        <f>IFERROR(__xludf.DUMMYFUNCTION("IFERROR(INDEX(SPLIT($J17, ""-""), 0, 1))"),"")</f>
        <v/>
      </c>
      <c r="J21" s="91"/>
      <c r="K21" s="10" t="s">
        <v>16</v>
      </c>
      <c r="Q21" s="96" t="str">
        <f>IFERROR(__xludf.DUMMYFUNCTION("IFERROR(SUM(SPLIT(J17, ""-"")))"),"")</f>
        <v/>
      </c>
      <c r="R21" s="96" t="str">
        <f>IFERROR(__xludf.DUMMYFUNCTION("IFERROR(INDEX(SPLIT($J17, ""-""), 0, 2))"),"")</f>
        <v/>
      </c>
      <c r="S21" s="110"/>
      <c r="T21" s="104"/>
      <c r="U21" s="104"/>
      <c r="V21" s="104"/>
      <c r="W21" s="104"/>
      <c r="X21" s="104"/>
      <c r="Y21" s="104"/>
    </row>
    <row r="22">
      <c r="AA22" s="107"/>
    </row>
    <row r="23">
      <c r="A23" s="80"/>
      <c r="B23" s="81"/>
      <c r="C23" s="81"/>
      <c r="D23" s="81"/>
      <c r="E23" s="81"/>
      <c r="F23" s="81"/>
      <c r="G23" s="81"/>
      <c r="H23" s="81"/>
      <c r="I23" s="81"/>
      <c r="J23" s="80" t="s">
        <v>103</v>
      </c>
      <c r="K23" s="81"/>
      <c r="L23" s="81"/>
      <c r="M23" s="80" t="s">
        <v>85</v>
      </c>
      <c r="N23" s="81"/>
      <c r="O23" s="80" t="s">
        <v>10</v>
      </c>
      <c r="P23" s="81"/>
      <c r="Q23" s="81"/>
      <c r="R23" s="81"/>
      <c r="S23" s="81"/>
      <c r="T23" s="80" t="s">
        <v>103</v>
      </c>
      <c r="U23" s="81"/>
      <c r="V23" s="81"/>
      <c r="W23" s="81"/>
      <c r="X23" s="81"/>
      <c r="Y23" s="81"/>
    </row>
    <row r="24">
      <c r="A24" s="84">
        <v>10.0</v>
      </c>
      <c r="E24" s="85" t="s">
        <v>86</v>
      </c>
      <c r="J24" s="86" t="s">
        <v>87</v>
      </c>
    </row>
    <row r="25">
      <c r="J25" s="87"/>
      <c r="V25" s="88" t="s">
        <v>88</v>
      </c>
    </row>
    <row r="26" ht="22.5" customHeight="1">
      <c r="A26" s="2" t="s">
        <v>89</v>
      </c>
      <c r="B26" s="2" t="s">
        <v>90</v>
      </c>
      <c r="C26" s="2" t="s">
        <v>91</v>
      </c>
      <c r="D26" s="2" t="s">
        <v>92</v>
      </c>
      <c r="E26" s="2" t="s">
        <v>5</v>
      </c>
      <c r="F26" s="90" t="s">
        <v>93</v>
      </c>
      <c r="G26" s="2" t="s">
        <v>94</v>
      </c>
      <c r="H26" s="90" t="s">
        <v>46</v>
      </c>
      <c r="I26" s="2" t="s">
        <v>95</v>
      </c>
      <c r="J26" s="91"/>
      <c r="K26" s="2" t="s">
        <v>96</v>
      </c>
      <c r="L26" s="2" t="s">
        <v>90</v>
      </c>
      <c r="M26" s="2" t="s">
        <v>91</v>
      </c>
      <c r="N26" s="2" t="s">
        <v>92</v>
      </c>
      <c r="O26" s="2" t="s">
        <v>5</v>
      </c>
      <c r="P26" s="90" t="s">
        <v>93</v>
      </c>
      <c r="Q26" s="2" t="s">
        <v>94</v>
      </c>
      <c r="R26" s="90" t="s">
        <v>46</v>
      </c>
      <c r="S26" s="2" t="s">
        <v>95</v>
      </c>
      <c r="U26" s="2" t="s">
        <v>97</v>
      </c>
      <c r="V26" s="2" t="s">
        <v>98</v>
      </c>
      <c r="W26" s="2" t="s">
        <v>99</v>
      </c>
      <c r="X26" s="2" t="s">
        <v>100</v>
      </c>
      <c r="Y26" s="2" t="s">
        <v>101</v>
      </c>
    </row>
    <row r="27" ht="22.5" customHeight="1">
      <c r="A27" s="10" t="s">
        <v>18</v>
      </c>
      <c r="G27" s="93" t="str">
        <f>IFERROR(__xludf.DUMMYFUNCTION("IFERROR(SUM(SPLIT(J25, ""-"")))"),"")</f>
        <v/>
      </c>
      <c r="H27" s="93" t="str">
        <f>IFERROR(__xludf.DUMMYFUNCTION("IFERROR(INDEX(SPLIT($J25, ""-""), 0, 1))"),"")</f>
        <v/>
      </c>
      <c r="J27" s="91"/>
      <c r="K27" s="10" t="s">
        <v>31</v>
      </c>
      <c r="Q27" s="93" t="str">
        <f>IFERROR(__xludf.DUMMYFUNCTION("IFERROR(SUM(SPLIT(J25, ""-"")))"),"")</f>
        <v/>
      </c>
      <c r="R27" s="93" t="str">
        <f>IFERROR(__xludf.DUMMYFUNCTION("IFERROR(INDEX(SPLIT($J25, ""-""), 0, 2))"),"")</f>
        <v/>
      </c>
      <c r="U27" s="94"/>
      <c r="V27" s="94"/>
      <c r="W27" s="94"/>
      <c r="X27" s="94"/>
      <c r="Y27" s="94"/>
    </row>
    <row r="28" ht="22.5" customHeight="1">
      <c r="A28" s="10" t="s">
        <v>22</v>
      </c>
      <c r="G28" s="95" t="str">
        <f>IFERROR(__xludf.DUMMYFUNCTION("IFERROR(SUM(SPLIT(J25, ""-"")))"),"")</f>
        <v/>
      </c>
      <c r="H28" s="95" t="str">
        <f>IFERROR(__xludf.DUMMYFUNCTION("IFERROR(INDEX(SPLIT($J25, ""-""), 0, 1))"),"")</f>
        <v/>
      </c>
      <c r="J28" s="91"/>
      <c r="K28" s="10" t="s">
        <v>16</v>
      </c>
      <c r="Q28" s="96" t="str">
        <f>IFERROR(__xludf.DUMMYFUNCTION("IFERROR(SUM(SPLIT(J25, ""-"")))"),"")</f>
        <v/>
      </c>
      <c r="R28" s="96" t="str">
        <f>IFERROR(__xludf.DUMMYFUNCTION("IFERROR(INDEX(SPLIT($J25, ""-""), 0, 2))"),"")</f>
        <v/>
      </c>
    </row>
    <row r="29">
      <c r="A29" s="97"/>
      <c r="B29" s="97"/>
      <c r="C29" s="97"/>
      <c r="D29" s="97"/>
      <c r="E29" s="97"/>
      <c r="F29" s="97"/>
      <c r="G29" s="97"/>
      <c r="H29" s="97"/>
      <c r="I29" s="97"/>
      <c r="J29" s="98"/>
      <c r="K29" s="97"/>
      <c r="L29" s="97"/>
      <c r="M29" s="97"/>
      <c r="N29" s="97"/>
      <c r="O29" s="97"/>
      <c r="P29" s="97"/>
      <c r="Q29" s="97"/>
      <c r="R29" s="97"/>
      <c r="S29" s="97"/>
      <c r="T29" s="97"/>
      <c r="U29" s="97"/>
      <c r="V29" s="97"/>
      <c r="W29" s="97"/>
      <c r="X29" s="97"/>
      <c r="Y29" s="97"/>
    </row>
    <row r="30">
      <c r="A30" s="84">
        <v>11.0</v>
      </c>
      <c r="J30" s="86" t="s">
        <v>87</v>
      </c>
    </row>
    <row r="31">
      <c r="J31" s="87"/>
    </row>
    <row r="32">
      <c r="F32" s="99"/>
      <c r="H32" s="99"/>
      <c r="J32" s="91"/>
      <c r="P32" s="99"/>
      <c r="R32" s="99"/>
      <c r="V32" s="88" t="s">
        <v>88</v>
      </c>
    </row>
    <row r="33" ht="22.5" customHeight="1">
      <c r="A33" s="2" t="s">
        <v>89</v>
      </c>
      <c r="B33" s="2" t="s">
        <v>90</v>
      </c>
      <c r="C33" s="2" t="s">
        <v>91</v>
      </c>
      <c r="D33" s="2" t="s">
        <v>92</v>
      </c>
      <c r="E33" s="2" t="s">
        <v>5</v>
      </c>
      <c r="F33" s="90" t="s">
        <v>93</v>
      </c>
      <c r="G33" s="2" t="s">
        <v>94</v>
      </c>
      <c r="H33" s="90" t="s">
        <v>46</v>
      </c>
      <c r="I33" s="4" t="s">
        <v>102</v>
      </c>
      <c r="J33" s="91"/>
      <c r="K33" s="2" t="s">
        <v>96</v>
      </c>
      <c r="L33" s="2" t="s">
        <v>90</v>
      </c>
      <c r="M33" s="2" t="s">
        <v>91</v>
      </c>
      <c r="N33" s="2" t="s">
        <v>92</v>
      </c>
      <c r="O33" s="2" t="s">
        <v>5</v>
      </c>
      <c r="P33" s="90" t="s">
        <v>93</v>
      </c>
      <c r="Q33" s="2" t="s">
        <v>94</v>
      </c>
      <c r="R33" s="90" t="s">
        <v>46</v>
      </c>
      <c r="S33" s="4" t="s">
        <v>102</v>
      </c>
      <c r="U33" s="2" t="s">
        <v>97</v>
      </c>
      <c r="V33" s="2" t="s">
        <v>98</v>
      </c>
      <c r="W33" s="2" t="s">
        <v>99</v>
      </c>
      <c r="X33" s="2" t="s">
        <v>100</v>
      </c>
      <c r="Y33" s="2" t="s">
        <v>101</v>
      </c>
    </row>
    <row r="34" ht="22.5" customHeight="1">
      <c r="A34" s="10" t="s">
        <v>26</v>
      </c>
      <c r="G34" s="93" t="str">
        <f>IFERROR(__xludf.DUMMYFUNCTION("IFERROR(SUM(SPLIT(J31, ""-"")))"),"")</f>
        <v/>
      </c>
      <c r="H34" s="93" t="str">
        <f>IFERROR(__xludf.DUMMYFUNCTION("IFERROR(INDEX(SPLIT($J31, ""-""), 0, 1))"),"")</f>
        <v/>
      </c>
      <c r="J34" s="91"/>
      <c r="K34" s="10" t="s">
        <v>12</v>
      </c>
      <c r="Q34" s="93" t="str">
        <f>IFERROR(__xludf.DUMMYFUNCTION("IFERROR(SUM(SPLIT(J31, ""-"")))"),"")</f>
        <v/>
      </c>
      <c r="R34" s="93" t="str">
        <f>IFERROR(__xludf.DUMMYFUNCTION("IFERROR(INDEX(SPLIT($J31, ""-""), 0, 2))"),"")</f>
        <v/>
      </c>
      <c r="U34" s="94"/>
      <c r="V34" s="94"/>
      <c r="W34" s="94"/>
      <c r="X34" s="94"/>
      <c r="Y34" s="94"/>
    </row>
    <row r="35" ht="22.5" customHeight="1">
      <c r="A35" s="10" t="s">
        <v>28</v>
      </c>
      <c r="G35" s="95" t="str">
        <f>IFERROR(__xludf.DUMMYFUNCTION("IFERROR(SUM(SPLIT(J31, ""-"")))"),"")</f>
        <v/>
      </c>
      <c r="H35" s="95" t="str">
        <f>IFERROR(__xludf.DUMMYFUNCTION("IFERROR(INDEX(SPLIT($J31, ""-""), 0, 1))"),"")</f>
        <v/>
      </c>
      <c r="J35" s="91"/>
      <c r="K35" s="10" t="s">
        <v>11</v>
      </c>
      <c r="Q35" s="96" t="str">
        <f>IFERROR(__xludf.DUMMYFUNCTION("IFERROR(SUM(SPLIT(J31, ""-"")))"),"")</f>
        <v/>
      </c>
      <c r="R35" s="96" t="str">
        <f>IFERROR(__xludf.DUMMYFUNCTION("IFERROR(INDEX(SPLIT($J31, ""-""), 0, 2))"),"")</f>
        <v/>
      </c>
    </row>
    <row r="36">
      <c r="J36" s="91"/>
    </row>
    <row r="37">
      <c r="A37" s="102"/>
      <c r="B37" s="102"/>
      <c r="C37" s="102"/>
      <c r="D37" s="102"/>
      <c r="E37" s="102"/>
      <c r="F37" s="102"/>
      <c r="G37" s="102"/>
      <c r="H37" s="102"/>
      <c r="I37" s="102"/>
      <c r="J37" s="102"/>
      <c r="K37" s="102"/>
      <c r="L37" s="102"/>
      <c r="M37" s="102"/>
      <c r="N37" s="102"/>
      <c r="O37" s="102"/>
      <c r="P37" s="102"/>
      <c r="Q37" s="102"/>
      <c r="R37" s="102"/>
      <c r="S37" s="102"/>
      <c r="T37" s="102"/>
      <c r="U37" s="102"/>
      <c r="V37" s="102"/>
      <c r="W37" s="102"/>
      <c r="X37" s="102"/>
      <c r="Y37" s="102"/>
    </row>
    <row r="38">
      <c r="A38" s="103">
        <v>12.0</v>
      </c>
      <c r="B38" s="104"/>
      <c r="C38" s="104"/>
      <c r="D38" s="104"/>
      <c r="E38" s="104"/>
      <c r="F38" s="104"/>
      <c r="G38" s="104"/>
      <c r="H38" s="104"/>
      <c r="I38" s="104"/>
      <c r="J38" s="105" t="s">
        <v>87</v>
      </c>
      <c r="K38" s="104"/>
      <c r="L38" s="104"/>
      <c r="M38" s="104"/>
      <c r="N38" s="104"/>
      <c r="O38" s="104"/>
      <c r="P38" s="104"/>
      <c r="Q38" s="104"/>
      <c r="R38" s="104"/>
      <c r="S38" s="104"/>
      <c r="T38" s="104"/>
      <c r="U38" s="104"/>
      <c r="V38" s="104"/>
      <c r="W38" s="104"/>
      <c r="X38" s="104"/>
      <c r="Y38" s="104"/>
    </row>
    <row r="39">
      <c r="A39" s="104"/>
      <c r="B39" s="104"/>
      <c r="C39" s="104"/>
      <c r="D39" s="104"/>
      <c r="E39" s="104"/>
      <c r="F39" s="104"/>
      <c r="G39" s="104"/>
      <c r="H39" s="104"/>
      <c r="I39" s="104"/>
      <c r="J39" s="87"/>
      <c r="K39" s="104"/>
      <c r="L39" s="104"/>
      <c r="M39" s="104"/>
      <c r="N39" s="104"/>
      <c r="O39" s="104"/>
      <c r="P39" s="104"/>
      <c r="Q39" s="104"/>
      <c r="R39" s="104"/>
      <c r="S39" s="104"/>
      <c r="T39" s="104"/>
      <c r="U39" s="104"/>
      <c r="V39" s="104"/>
      <c r="W39" s="104"/>
      <c r="X39" s="104"/>
      <c r="Y39" s="104"/>
    </row>
    <row r="40">
      <c r="A40" s="104"/>
      <c r="B40" s="104"/>
      <c r="C40" s="104"/>
      <c r="D40" s="104"/>
      <c r="E40" s="104"/>
      <c r="F40" s="106"/>
      <c r="G40" s="104"/>
      <c r="H40" s="106"/>
      <c r="I40" s="104"/>
      <c r="J40" s="104"/>
      <c r="K40" s="104"/>
      <c r="L40" s="104"/>
      <c r="M40" s="104"/>
      <c r="N40" s="104"/>
      <c r="O40" s="104"/>
      <c r="P40" s="106"/>
      <c r="Q40" s="104"/>
      <c r="R40" s="106"/>
      <c r="S40" s="104"/>
      <c r="T40" s="104"/>
      <c r="U40" s="104"/>
      <c r="V40" s="88" t="s">
        <v>88</v>
      </c>
      <c r="W40" s="104"/>
      <c r="X40" s="104"/>
      <c r="Y40" s="104"/>
    </row>
    <row r="41" ht="22.5" customHeight="1">
      <c r="A41" s="2" t="s">
        <v>89</v>
      </c>
      <c r="B41" s="2" t="s">
        <v>90</v>
      </c>
      <c r="C41" s="2" t="s">
        <v>91</v>
      </c>
      <c r="D41" s="2" t="s">
        <v>92</v>
      </c>
      <c r="E41" s="2" t="s">
        <v>5</v>
      </c>
      <c r="F41" s="90" t="s">
        <v>93</v>
      </c>
      <c r="G41" s="2" t="s">
        <v>94</v>
      </c>
      <c r="H41" s="90" t="s">
        <v>46</v>
      </c>
      <c r="I41" s="108" t="s">
        <v>102</v>
      </c>
      <c r="J41" s="104"/>
      <c r="K41" s="2" t="s">
        <v>96</v>
      </c>
      <c r="L41" s="2" t="s">
        <v>90</v>
      </c>
      <c r="M41" s="2" t="s">
        <v>91</v>
      </c>
      <c r="N41" s="2" t="s">
        <v>92</v>
      </c>
      <c r="O41" s="2" t="s">
        <v>5</v>
      </c>
      <c r="P41" s="90" t="s">
        <v>93</v>
      </c>
      <c r="Q41" s="2" t="s">
        <v>94</v>
      </c>
      <c r="R41" s="90" t="s">
        <v>46</v>
      </c>
      <c r="S41" s="108" t="s">
        <v>102</v>
      </c>
      <c r="T41" s="104"/>
      <c r="U41" s="2" t="s">
        <v>97</v>
      </c>
      <c r="V41" s="2" t="s">
        <v>98</v>
      </c>
      <c r="W41" s="2" t="s">
        <v>99</v>
      </c>
      <c r="X41" s="2" t="s">
        <v>100</v>
      </c>
      <c r="Y41" s="2" t="s">
        <v>101</v>
      </c>
    </row>
    <row r="42" ht="22.5" customHeight="1">
      <c r="A42" s="10" t="s">
        <v>14</v>
      </c>
      <c r="G42" s="93" t="str">
        <f>IFERROR(__xludf.DUMMYFUNCTION("IFERROR(SUM(SPLIT(J39, ""-"")))"),"")</f>
        <v/>
      </c>
      <c r="H42" s="93" t="str">
        <f>IFERROR(__xludf.DUMMYFUNCTION("IFERROR(INDEX(SPLIT($J39, ""-""), 0, 1))"),"")</f>
        <v/>
      </c>
      <c r="J42" s="91"/>
      <c r="K42" s="10" t="s">
        <v>24</v>
      </c>
      <c r="Q42" s="93" t="str">
        <f>IFERROR(__xludf.DUMMYFUNCTION("IFERROR(SUM(SPLIT(J39, ""-"")))"),"")</f>
        <v/>
      </c>
      <c r="R42" s="93" t="str">
        <f>IFERROR(__xludf.DUMMYFUNCTION("IFERROR(INDEX(SPLIT($J39, ""-""), 0, 2))"),"")</f>
        <v/>
      </c>
      <c r="S42" s="109"/>
      <c r="T42" s="104"/>
      <c r="U42" s="94"/>
      <c r="V42" s="94"/>
      <c r="W42" s="94"/>
      <c r="X42" s="94"/>
      <c r="Y42" s="94"/>
    </row>
    <row r="43" ht="22.5" customHeight="1">
      <c r="A43" s="10" t="s">
        <v>30</v>
      </c>
      <c r="G43" s="95" t="str">
        <f>IFERROR(__xludf.DUMMYFUNCTION("IFERROR(SUM(SPLIT(J39, ""-"")))"),"")</f>
        <v/>
      </c>
      <c r="H43" s="95" t="str">
        <f>IFERROR(__xludf.DUMMYFUNCTION("IFERROR(INDEX(SPLIT($J39, ""-""), 0, 1))"),"")</f>
        <v/>
      </c>
      <c r="J43" s="91"/>
      <c r="K43" s="10" t="s">
        <v>20</v>
      </c>
      <c r="Q43" s="96" t="str">
        <f>IFERROR(__xludf.DUMMYFUNCTION("IFERROR(SUM(SPLIT(J39, ""-"")))"),"")</f>
        <v/>
      </c>
      <c r="R43" s="96" t="str">
        <f>IFERROR(__xludf.DUMMYFUNCTION("IFERROR(INDEX(SPLIT($J39, ""-""), 0, 2))"),"")</f>
        <v/>
      </c>
      <c r="S43" s="110"/>
      <c r="T43" s="104"/>
      <c r="U43" s="104"/>
      <c r="V43" s="104"/>
      <c r="W43" s="104"/>
      <c r="X43" s="104"/>
      <c r="Y43" s="104"/>
    </row>
    <row r="45">
      <c r="A45" s="80"/>
      <c r="B45" s="81"/>
      <c r="C45" s="81"/>
      <c r="D45" s="81"/>
      <c r="E45" s="81"/>
      <c r="F45" s="81"/>
      <c r="G45" s="81"/>
      <c r="H45" s="81"/>
      <c r="I45" s="81"/>
      <c r="J45" s="80" t="s">
        <v>104</v>
      </c>
      <c r="K45" s="81"/>
      <c r="L45" s="81"/>
      <c r="M45" s="80" t="s">
        <v>85</v>
      </c>
      <c r="N45" s="81"/>
      <c r="O45" s="80" t="s">
        <v>26</v>
      </c>
      <c r="P45" s="81"/>
      <c r="Q45" s="81"/>
      <c r="R45" s="81"/>
      <c r="S45" s="81"/>
      <c r="T45" s="80" t="s">
        <v>104</v>
      </c>
      <c r="U45" s="81"/>
      <c r="V45" s="81"/>
      <c r="W45" s="81"/>
      <c r="X45" s="81"/>
      <c r="Y45" s="81"/>
    </row>
    <row r="46">
      <c r="A46" s="84">
        <v>1.0</v>
      </c>
      <c r="E46" s="85" t="s">
        <v>86</v>
      </c>
      <c r="J46" s="86" t="s">
        <v>87</v>
      </c>
    </row>
    <row r="47">
      <c r="J47" s="111"/>
      <c r="V47" s="88" t="s">
        <v>88</v>
      </c>
    </row>
    <row r="48" ht="22.5" customHeight="1">
      <c r="A48" s="2" t="s">
        <v>89</v>
      </c>
      <c r="B48" s="2" t="s">
        <v>90</v>
      </c>
      <c r="C48" s="2" t="s">
        <v>91</v>
      </c>
      <c r="D48" s="2" t="s">
        <v>92</v>
      </c>
      <c r="E48" s="2" t="s">
        <v>5</v>
      </c>
      <c r="F48" s="90" t="s">
        <v>93</v>
      </c>
      <c r="G48" s="2" t="s">
        <v>94</v>
      </c>
      <c r="H48" s="90" t="s">
        <v>46</v>
      </c>
      <c r="I48" s="2" t="s">
        <v>95</v>
      </c>
      <c r="J48" s="91"/>
      <c r="K48" s="2" t="s">
        <v>96</v>
      </c>
      <c r="L48" s="2" t="s">
        <v>90</v>
      </c>
      <c r="M48" s="2" t="s">
        <v>91</v>
      </c>
      <c r="N48" s="2" t="s">
        <v>92</v>
      </c>
      <c r="O48" s="2" t="s">
        <v>5</v>
      </c>
      <c r="P48" s="90" t="s">
        <v>93</v>
      </c>
      <c r="Q48" s="2" t="s">
        <v>94</v>
      </c>
      <c r="R48" s="90" t="s">
        <v>46</v>
      </c>
      <c r="S48" s="2" t="s">
        <v>95</v>
      </c>
      <c r="U48" s="2" t="s">
        <v>97</v>
      </c>
      <c r="V48" s="2" t="s">
        <v>98</v>
      </c>
      <c r="W48" s="2" t="s">
        <v>99</v>
      </c>
      <c r="X48" s="2" t="s">
        <v>100</v>
      </c>
      <c r="Y48" s="2" t="s">
        <v>101</v>
      </c>
    </row>
    <row r="49" ht="22.5" customHeight="1">
      <c r="A49" s="10" t="s">
        <v>31</v>
      </c>
      <c r="G49" s="93" t="str">
        <f>IFERROR(__xludf.DUMMYFUNCTION("IFERROR(SUM(SPLIT(J47, ""-"")))"),"")</f>
        <v/>
      </c>
      <c r="H49" s="93" t="str">
        <f>IFERROR(__xludf.DUMMYFUNCTION("IFERROR(INDEX(SPLIT($J47, ""-""), 0, 1))"),"")</f>
        <v/>
      </c>
      <c r="J49" s="91"/>
      <c r="K49" s="10" t="s">
        <v>12</v>
      </c>
      <c r="Q49" s="93" t="str">
        <f>IFERROR(__xludf.DUMMYFUNCTION("IFERROR(SUM(SPLIT(J47, ""-"")))"),"")</f>
        <v/>
      </c>
      <c r="R49" s="93" t="str">
        <f>IFERROR(__xludf.DUMMYFUNCTION("IFERROR(INDEX(SPLIT($J47, ""-""), 0, 2))"),"")</f>
        <v/>
      </c>
      <c r="U49" s="94"/>
      <c r="V49" s="94"/>
      <c r="W49" s="94"/>
      <c r="X49" s="94"/>
      <c r="Y49" s="94"/>
    </row>
    <row r="50" ht="22.5" customHeight="1">
      <c r="A50" s="10" t="s">
        <v>20</v>
      </c>
      <c r="G50" s="95" t="str">
        <f>IFERROR(__xludf.DUMMYFUNCTION("IFERROR(SUM(SPLIT(J47, ""-"")))"),"")</f>
        <v/>
      </c>
      <c r="H50" s="95" t="str">
        <f>IFERROR(__xludf.DUMMYFUNCTION("IFERROR(INDEX(SPLIT($J47, ""-""), 0, 1))"),"")</f>
        <v/>
      </c>
      <c r="J50" s="91"/>
      <c r="K50" s="10" t="s">
        <v>22</v>
      </c>
      <c r="Q50" s="96" t="str">
        <f>IFERROR(__xludf.DUMMYFUNCTION("IFERROR(SUM(SPLIT(J47, ""-"")))"),"")</f>
        <v/>
      </c>
      <c r="R50" s="96" t="str">
        <f>IFERROR(__xludf.DUMMYFUNCTION("IFERROR(INDEX(SPLIT($J47, ""-""), 0, 2))"),"")</f>
        <v/>
      </c>
    </row>
    <row r="51">
      <c r="A51" s="97"/>
      <c r="B51" s="97"/>
      <c r="C51" s="97"/>
      <c r="D51" s="97"/>
      <c r="E51" s="97"/>
      <c r="F51" s="97"/>
      <c r="G51" s="97"/>
      <c r="H51" s="97"/>
      <c r="I51" s="97"/>
      <c r="J51" s="98"/>
      <c r="K51" s="97"/>
      <c r="L51" s="97"/>
      <c r="M51" s="97"/>
      <c r="N51" s="97"/>
      <c r="O51" s="97"/>
      <c r="P51" s="97"/>
      <c r="Q51" s="97"/>
      <c r="R51" s="97"/>
      <c r="S51" s="97"/>
      <c r="T51" s="97"/>
      <c r="U51" s="97"/>
      <c r="V51" s="97"/>
      <c r="W51" s="97"/>
      <c r="X51" s="97"/>
      <c r="Y51" s="97"/>
    </row>
    <row r="52">
      <c r="A52" s="84">
        <v>2.0</v>
      </c>
      <c r="J52" s="86" t="s">
        <v>87</v>
      </c>
    </row>
    <row r="53">
      <c r="J53" s="87"/>
    </row>
    <row r="54">
      <c r="F54" s="99"/>
      <c r="H54" s="99"/>
      <c r="J54" s="91"/>
      <c r="P54" s="99"/>
      <c r="R54" s="99"/>
      <c r="V54" s="88" t="s">
        <v>88</v>
      </c>
    </row>
    <row r="55" ht="22.5" customHeight="1">
      <c r="A55" s="2" t="s">
        <v>89</v>
      </c>
      <c r="B55" s="2" t="s">
        <v>90</v>
      </c>
      <c r="C55" s="2" t="s">
        <v>91</v>
      </c>
      <c r="D55" s="2" t="s">
        <v>92</v>
      </c>
      <c r="E55" s="2" t="s">
        <v>5</v>
      </c>
      <c r="F55" s="90" t="s">
        <v>93</v>
      </c>
      <c r="G55" s="2" t="s">
        <v>94</v>
      </c>
      <c r="H55" s="90" t="s">
        <v>46</v>
      </c>
      <c r="I55" s="4" t="s">
        <v>102</v>
      </c>
      <c r="J55" s="91"/>
      <c r="K55" s="2" t="s">
        <v>96</v>
      </c>
      <c r="L55" s="2" t="s">
        <v>90</v>
      </c>
      <c r="M55" s="2" t="s">
        <v>91</v>
      </c>
      <c r="N55" s="2" t="s">
        <v>92</v>
      </c>
      <c r="O55" s="2" t="s">
        <v>5</v>
      </c>
      <c r="P55" s="90" t="s">
        <v>93</v>
      </c>
      <c r="Q55" s="2" t="s">
        <v>94</v>
      </c>
      <c r="R55" s="90" t="s">
        <v>46</v>
      </c>
      <c r="S55" s="4" t="s">
        <v>102</v>
      </c>
      <c r="U55" s="2" t="s">
        <v>97</v>
      </c>
      <c r="V55" s="2" t="s">
        <v>98</v>
      </c>
      <c r="W55" s="2" t="s">
        <v>99</v>
      </c>
      <c r="X55" s="2" t="s">
        <v>100</v>
      </c>
      <c r="Y55" s="2" t="s">
        <v>101</v>
      </c>
    </row>
    <row r="56" ht="22.5" customHeight="1">
      <c r="A56" s="10" t="s">
        <v>14</v>
      </c>
      <c r="G56" s="93" t="str">
        <f>IFERROR(__xludf.DUMMYFUNCTION("IFERROR(SUM(SPLIT(J53, ""-"")))"),"")</f>
        <v/>
      </c>
      <c r="H56" s="93" t="str">
        <f>IFERROR(__xludf.DUMMYFUNCTION("IFERROR(INDEX(SPLIT($J53, ""-""), 0, 1))"),"")</f>
        <v/>
      </c>
      <c r="J56" s="91"/>
      <c r="K56" s="10" t="s">
        <v>30</v>
      </c>
      <c r="Q56" s="93" t="str">
        <f>IFERROR(__xludf.DUMMYFUNCTION("IFERROR(SUM(SPLIT(J53, ""-"")))"),"")</f>
        <v/>
      </c>
      <c r="R56" s="93" t="str">
        <f>IFERROR(__xludf.DUMMYFUNCTION("IFERROR(INDEX(SPLIT($J53, ""-""), 0, 2))"),"")</f>
        <v/>
      </c>
      <c r="U56" s="94"/>
      <c r="V56" s="94"/>
      <c r="W56" s="94"/>
      <c r="X56" s="94"/>
      <c r="Y56" s="94"/>
    </row>
    <row r="57" ht="22.5" customHeight="1">
      <c r="A57" s="10" t="s">
        <v>28</v>
      </c>
      <c r="G57" s="95" t="str">
        <f>IFERROR(__xludf.DUMMYFUNCTION("IFERROR(SUM(SPLIT(J53, ""-"")))"),"")</f>
        <v/>
      </c>
      <c r="H57" s="95" t="str">
        <f>IFERROR(__xludf.DUMMYFUNCTION("IFERROR(INDEX(SPLIT($J53, ""-""), 0, 1))"),"")</f>
        <v/>
      </c>
      <c r="J57" s="91"/>
      <c r="K57" s="10" t="s">
        <v>18</v>
      </c>
      <c r="Q57" s="96" t="str">
        <f>IFERROR(__xludf.DUMMYFUNCTION("IFERROR(SUM(SPLIT(J53, ""-"")))"),"")</f>
        <v/>
      </c>
      <c r="R57" s="96" t="str">
        <f>IFERROR(__xludf.DUMMYFUNCTION("IFERROR(INDEX(SPLIT($J53, ""-""), 0, 2))"),"")</f>
        <v/>
      </c>
    </row>
    <row r="58">
      <c r="J58" s="91"/>
    </row>
    <row r="59">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row>
    <row r="60">
      <c r="A60" s="103">
        <v>3.0</v>
      </c>
      <c r="B60" s="104"/>
      <c r="C60" s="104"/>
      <c r="D60" s="104"/>
      <c r="E60" s="104"/>
      <c r="F60" s="104"/>
      <c r="G60" s="104"/>
      <c r="H60" s="104"/>
      <c r="I60" s="104"/>
      <c r="J60" s="105" t="s">
        <v>87</v>
      </c>
      <c r="K60" s="104"/>
      <c r="L60" s="104"/>
      <c r="M60" s="104"/>
      <c r="N60" s="104"/>
      <c r="O60" s="104"/>
      <c r="P60" s="104"/>
      <c r="Q60" s="104"/>
      <c r="R60" s="104"/>
      <c r="S60" s="104"/>
      <c r="T60" s="104"/>
      <c r="U60" s="104"/>
      <c r="V60" s="104"/>
      <c r="W60" s="104"/>
      <c r="X60" s="104"/>
      <c r="Y60" s="104"/>
    </row>
    <row r="61">
      <c r="A61" s="104"/>
      <c r="B61" s="104"/>
      <c r="C61" s="104"/>
      <c r="D61" s="104"/>
      <c r="E61" s="104"/>
      <c r="F61" s="104"/>
      <c r="G61" s="104"/>
      <c r="H61" s="104"/>
      <c r="I61" s="104"/>
      <c r="J61" s="112"/>
      <c r="K61" s="104"/>
      <c r="L61" s="104"/>
      <c r="M61" s="104"/>
      <c r="N61" s="104"/>
      <c r="O61" s="104"/>
      <c r="P61" s="104"/>
      <c r="Q61" s="104"/>
      <c r="R61" s="104"/>
      <c r="S61" s="104"/>
      <c r="T61" s="104"/>
      <c r="U61" s="104"/>
      <c r="V61" s="104"/>
      <c r="W61" s="104"/>
      <c r="X61" s="104"/>
      <c r="Y61" s="104"/>
    </row>
    <row r="62">
      <c r="A62" s="104"/>
      <c r="B62" s="104"/>
      <c r="C62" s="104"/>
      <c r="D62" s="104"/>
      <c r="E62" s="104"/>
      <c r="F62" s="106"/>
      <c r="G62" s="104"/>
      <c r="H62" s="106"/>
      <c r="I62" s="104"/>
      <c r="J62" s="104"/>
      <c r="K62" s="104"/>
      <c r="L62" s="104"/>
      <c r="M62" s="104"/>
      <c r="N62" s="104"/>
      <c r="O62" s="104"/>
      <c r="P62" s="106"/>
      <c r="Q62" s="104"/>
      <c r="R62" s="106"/>
      <c r="S62" s="104"/>
      <c r="T62" s="104"/>
      <c r="U62" s="104"/>
      <c r="V62" s="88" t="s">
        <v>88</v>
      </c>
      <c r="W62" s="104"/>
      <c r="X62" s="104"/>
      <c r="Y62" s="104"/>
    </row>
    <row r="63" ht="22.5" customHeight="1">
      <c r="A63" s="2" t="s">
        <v>89</v>
      </c>
      <c r="B63" s="2" t="s">
        <v>90</v>
      </c>
      <c r="C63" s="2" t="s">
        <v>91</v>
      </c>
      <c r="D63" s="2" t="s">
        <v>92</v>
      </c>
      <c r="E63" s="2" t="s">
        <v>5</v>
      </c>
      <c r="F63" s="90" t="s">
        <v>93</v>
      </c>
      <c r="G63" s="2" t="s">
        <v>94</v>
      </c>
      <c r="H63" s="90" t="s">
        <v>46</v>
      </c>
      <c r="I63" s="108" t="s">
        <v>102</v>
      </c>
      <c r="J63" s="104"/>
      <c r="K63" s="2" t="s">
        <v>96</v>
      </c>
      <c r="L63" s="2" t="s">
        <v>90</v>
      </c>
      <c r="M63" s="2" t="s">
        <v>91</v>
      </c>
      <c r="N63" s="2" t="s">
        <v>92</v>
      </c>
      <c r="O63" s="2" t="s">
        <v>5</v>
      </c>
      <c r="P63" s="90" t="s">
        <v>93</v>
      </c>
      <c r="Q63" s="2" t="s">
        <v>94</v>
      </c>
      <c r="R63" s="90" t="s">
        <v>46</v>
      </c>
      <c r="S63" s="108" t="s">
        <v>102</v>
      </c>
      <c r="T63" s="104"/>
      <c r="U63" s="2" t="s">
        <v>97</v>
      </c>
      <c r="V63" s="2" t="s">
        <v>98</v>
      </c>
      <c r="W63" s="2" t="s">
        <v>99</v>
      </c>
      <c r="X63" s="2" t="s">
        <v>100</v>
      </c>
      <c r="Y63" s="2" t="s">
        <v>101</v>
      </c>
    </row>
    <row r="64" ht="22.5" customHeight="1">
      <c r="A64" s="10" t="s">
        <v>11</v>
      </c>
      <c r="G64" s="93" t="str">
        <f>IFERROR(__xludf.DUMMYFUNCTION("IFERROR(SUM(SPLIT(J61, ""-"")))"),"")</f>
        <v/>
      </c>
      <c r="H64" s="93" t="str">
        <f>IFERROR(__xludf.DUMMYFUNCTION("IFERROR(INDEX(SPLIT($J61, ""-""), 0, 1))"),"")</f>
        <v/>
      </c>
      <c r="J64" s="91"/>
      <c r="K64" s="10" t="s">
        <v>16</v>
      </c>
      <c r="Q64" s="93" t="str">
        <f>IFERROR(__xludf.DUMMYFUNCTION("IFERROR(SUM(SPLIT(J61, ""-"")))"),"")</f>
        <v/>
      </c>
      <c r="R64" s="93" t="str">
        <f>IFERROR(__xludf.DUMMYFUNCTION("IFERROR(INDEX(SPLIT($J61, ""-""), 0, 2))"),"")</f>
        <v/>
      </c>
      <c r="S64" s="109"/>
      <c r="T64" s="104"/>
      <c r="U64" s="94"/>
      <c r="V64" s="94"/>
      <c r="W64" s="94"/>
      <c r="X64" s="94"/>
      <c r="Y64" s="94"/>
    </row>
    <row r="65" ht="22.5" customHeight="1">
      <c r="A65" s="10" t="s">
        <v>24</v>
      </c>
      <c r="G65" s="95" t="str">
        <f>IFERROR(__xludf.DUMMYFUNCTION("IFERROR(SUM(SPLIT(J61, ""-"")))"),"")</f>
        <v/>
      </c>
      <c r="H65" s="95" t="str">
        <f>IFERROR(__xludf.DUMMYFUNCTION("IFERROR(INDEX(SPLIT($J61, ""-""), 0, 1))"),"")</f>
        <v/>
      </c>
      <c r="J65" s="91"/>
      <c r="K65" s="10" t="s">
        <v>10</v>
      </c>
      <c r="Q65" s="96" t="str">
        <f>IFERROR(__xludf.DUMMYFUNCTION("IFERROR(SUM(SPLIT(J61, ""-"")))"),"")</f>
        <v/>
      </c>
      <c r="R65" s="96" t="str">
        <f>IFERROR(__xludf.DUMMYFUNCTION("IFERROR(INDEX(SPLIT($J61, ""-""), 0, 2))"),"")</f>
        <v/>
      </c>
      <c r="S65" s="110"/>
      <c r="T65" s="104"/>
      <c r="U65" s="104"/>
      <c r="V65" s="104"/>
      <c r="W65" s="104"/>
      <c r="X65" s="104"/>
      <c r="Y65" s="104"/>
    </row>
    <row r="67">
      <c r="A67" s="80"/>
      <c r="B67" s="81"/>
      <c r="C67" s="81"/>
      <c r="D67" s="81"/>
      <c r="E67" s="81"/>
      <c r="F67" s="81"/>
      <c r="G67" s="81"/>
      <c r="H67" s="81"/>
      <c r="I67" s="81"/>
      <c r="J67" s="80" t="s">
        <v>105</v>
      </c>
      <c r="K67" s="81"/>
      <c r="L67" s="81"/>
      <c r="M67" s="80" t="s">
        <v>85</v>
      </c>
      <c r="N67" s="81"/>
      <c r="O67" s="80" t="s">
        <v>18</v>
      </c>
      <c r="P67" s="81"/>
      <c r="Q67" s="81"/>
      <c r="R67" s="81"/>
      <c r="S67" s="81"/>
      <c r="T67" s="80" t="s">
        <v>105</v>
      </c>
      <c r="U67" s="81"/>
      <c r="V67" s="81"/>
      <c r="W67" s="81"/>
      <c r="X67" s="81"/>
      <c r="Y67" s="81"/>
    </row>
    <row r="68">
      <c r="A68" s="84">
        <v>7.0</v>
      </c>
      <c r="E68" s="85" t="s">
        <v>86</v>
      </c>
      <c r="J68" s="86" t="s">
        <v>87</v>
      </c>
      <c r="AA68" s="107"/>
    </row>
    <row r="69">
      <c r="J69" s="111"/>
      <c r="V69" s="88" t="s">
        <v>88</v>
      </c>
    </row>
    <row r="70" ht="22.5" customHeight="1">
      <c r="A70" s="2" t="s">
        <v>89</v>
      </c>
      <c r="B70" s="2" t="s">
        <v>90</v>
      </c>
      <c r="C70" s="2" t="s">
        <v>91</v>
      </c>
      <c r="D70" s="2" t="s">
        <v>92</v>
      </c>
      <c r="E70" s="2" t="s">
        <v>5</v>
      </c>
      <c r="F70" s="90" t="s">
        <v>93</v>
      </c>
      <c r="G70" s="2" t="s">
        <v>94</v>
      </c>
      <c r="H70" s="90" t="s">
        <v>46</v>
      </c>
      <c r="I70" s="2" t="s">
        <v>95</v>
      </c>
      <c r="J70" s="91"/>
      <c r="K70" s="2" t="s">
        <v>96</v>
      </c>
      <c r="L70" s="2" t="s">
        <v>90</v>
      </c>
      <c r="M70" s="2" t="s">
        <v>91</v>
      </c>
      <c r="N70" s="2" t="s">
        <v>92</v>
      </c>
      <c r="O70" s="2" t="s">
        <v>5</v>
      </c>
      <c r="P70" s="90" t="s">
        <v>93</v>
      </c>
      <c r="Q70" s="2" t="s">
        <v>94</v>
      </c>
      <c r="R70" s="90" t="s">
        <v>46</v>
      </c>
      <c r="S70" s="2" t="s">
        <v>95</v>
      </c>
      <c r="U70" s="2" t="s">
        <v>97</v>
      </c>
      <c r="V70" s="2" t="s">
        <v>98</v>
      </c>
      <c r="W70" s="2" t="s">
        <v>99</v>
      </c>
      <c r="X70" s="2" t="s">
        <v>100</v>
      </c>
      <c r="Y70" s="2" t="s">
        <v>101</v>
      </c>
    </row>
    <row r="71" ht="22.5" customHeight="1">
      <c r="A71" s="10" t="s">
        <v>26</v>
      </c>
      <c r="G71" s="93" t="str">
        <f>IFERROR(__xludf.DUMMYFUNCTION("IFERROR(SUM(SPLIT(J69, ""-"")))"),"")</f>
        <v/>
      </c>
      <c r="H71" s="93" t="str">
        <f>IFERROR(__xludf.DUMMYFUNCTION("IFERROR(INDEX(SPLIT($J69, ""-""), 0, 1))"),"")</f>
        <v/>
      </c>
      <c r="J71" s="91"/>
      <c r="K71" s="10" t="s">
        <v>12</v>
      </c>
      <c r="Q71" s="93" t="str">
        <f>IFERROR(__xludf.DUMMYFUNCTION("IFERROR(SUM(SPLIT(J69, ""-"")))"),"")</f>
        <v/>
      </c>
      <c r="R71" s="93" t="str">
        <f>IFERROR(__xludf.DUMMYFUNCTION("IFERROR(INDEX(SPLIT($J69, ""-""), 0, 2))"),"")</f>
        <v/>
      </c>
      <c r="U71" s="94"/>
      <c r="V71" s="94"/>
      <c r="W71" s="94"/>
      <c r="X71" s="94"/>
      <c r="Y71" s="94"/>
    </row>
    <row r="72" ht="22.5" customHeight="1">
      <c r="A72" s="10" t="s">
        <v>22</v>
      </c>
      <c r="G72" s="95" t="str">
        <f>IFERROR(__xludf.DUMMYFUNCTION("IFERROR(SUM(SPLIT(J69, ""-"")))"),"")</f>
        <v/>
      </c>
      <c r="H72" s="95" t="str">
        <f>IFERROR(__xludf.DUMMYFUNCTION("IFERROR(INDEX(SPLIT($J69, ""-""), 0, 1))"),"")</f>
        <v/>
      </c>
      <c r="J72" s="91"/>
      <c r="K72" s="10" t="s">
        <v>10</v>
      </c>
      <c r="Q72" s="96" t="str">
        <f>IFERROR(__xludf.DUMMYFUNCTION("IFERROR(SUM(SPLIT(J69, ""-"")))"),"")</f>
        <v/>
      </c>
      <c r="R72" s="96" t="str">
        <f>IFERROR(__xludf.DUMMYFUNCTION("IFERROR(INDEX(SPLIT($J69, ""-""), 0, 2))"),"")</f>
        <v/>
      </c>
      <c r="AA72" s="107"/>
    </row>
    <row r="73">
      <c r="A73" s="97"/>
      <c r="B73" s="97"/>
      <c r="C73" s="97"/>
      <c r="D73" s="97"/>
      <c r="E73" s="97"/>
      <c r="F73" s="97"/>
      <c r="G73" s="97"/>
      <c r="H73" s="97"/>
      <c r="I73" s="97"/>
      <c r="J73" s="98"/>
      <c r="K73" s="97"/>
      <c r="L73" s="97"/>
      <c r="M73" s="97"/>
      <c r="N73" s="97"/>
      <c r="O73" s="97"/>
      <c r="P73" s="97"/>
      <c r="Q73" s="97"/>
      <c r="R73" s="97"/>
      <c r="S73" s="97"/>
      <c r="T73" s="97"/>
      <c r="U73" s="97"/>
      <c r="V73" s="97"/>
      <c r="W73" s="97"/>
      <c r="X73" s="97"/>
      <c r="Y73" s="97"/>
    </row>
    <row r="74">
      <c r="A74" s="84">
        <v>8.0</v>
      </c>
      <c r="J74" s="86" t="s">
        <v>87</v>
      </c>
    </row>
    <row r="75">
      <c r="J75" s="87"/>
    </row>
    <row r="76">
      <c r="F76" s="99"/>
      <c r="H76" s="99"/>
      <c r="J76" s="91"/>
      <c r="P76" s="99"/>
      <c r="R76" s="99"/>
      <c r="V76" s="88" t="s">
        <v>88</v>
      </c>
    </row>
    <row r="77" ht="22.5" customHeight="1">
      <c r="A77" s="2" t="s">
        <v>89</v>
      </c>
      <c r="B77" s="2" t="s">
        <v>90</v>
      </c>
      <c r="C77" s="2" t="s">
        <v>91</v>
      </c>
      <c r="D77" s="2" t="s">
        <v>92</v>
      </c>
      <c r="E77" s="2" t="s">
        <v>5</v>
      </c>
      <c r="F77" s="90" t="s">
        <v>93</v>
      </c>
      <c r="G77" s="2" t="s">
        <v>94</v>
      </c>
      <c r="H77" s="90" t="s">
        <v>46</v>
      </c>
      <c r="I77" s="4" t="s">
        <v>102</v>
      </c>
      <c r="J77" s="91"/>
      <c r="K77" s="2" t="s">
        <v>96</v>
      </c>
      <c r="L77" s="2" t="s">
        <v>90</v>
      </c>
      <c r="M77" s="2" t="s">
        <v>91</v>
      </c>
      <c r="N77" s="2" t="s">
        <v>92</v>
      </c>
      <c r="O77" s="2" t="s">
        <v>5</v>
      </c>
      <c r="P77" s="90" t="s">
        <v>93</v>
      </c>
      <c r="Q77" s="2" t="s">
        <v>94</v>
      </c>
      <c r="R77" s="90" t="s">
        <v>46</v>
      </c>
      <c r="S77" s="4" t="s">
        <v>102</v>
      </c>
      <c r="U77" s="2" t="s">
        <v>97</v>
      </c>
      <c r="V77" s="2" t="s">
        <v>98</v>
      </c>
      <c r="W77" s="2" t="s">
        <v>99</v>
      </c>
      <c r="X77" s="2" t="s">
        <v>100</v>
      </c>
      <c r="Y77" s="2" t="s">
        <v>101</v>
      </c>
    </row>
    <row r="78" ht="22.5" customHeight="1">
      <c r="A78" s="10" t="s">
        <v>31</v>
      </c>
      <c r="G78" s="93" t="str">
        <f>IFERROR(__xludf.DUMMYFUNCTION("IFERROR(SUM(SPLIT(J75, ""-"")))"),"")</f>
        <v/>
      </c>
      <c r="H78" s="93" t="str">
        <f>IFERROR(__xludf.DUMMYFUNCTION("IFERROR(INDEX(SPLIT($J75, ""-""), 0, 1))"),"")</f>
        <v/>
      </c>
      <c r="J78" s="91"/>
      <c r="K78" s="10" t="s">
        <v>30</v>
      </c>
      <c r="Q78" s="93" t="str">
        <f>IFERROR(__xludf.DUMMYFUNCTION("IFERROR(SUM(SPLIT(J75, ""-"")))"),"")</f>
        <v/>
      </c>
      <c r="R78" s="93" t="str">
        <f>IFERROR(__xludf.DUMMYFUNCTION("IFERROR(INDEX(SPLIT($J75, ""-""), 0, 2))"),"")</f>
        <v/>
      </c>
      <c r="U78" s="94"/>
      <c r="V78" s="94"/>
      <c r="W78" s="94"/>
      <c r="X78" s="94"/>
      <c r="Y78" s="94"/>
    </row>
    <row r="79" ht="22.5" customHeight="1">
      <c r="A79" s="10" t="s">
        <v>24</v>
      </c>
      <c r="G79" s="95" t="str">
        <f>IFERROR(__xludf.DUMMYFUNCTION("IFERROR(SUM(SPLIT(J75, ""-"")))"),"")</f>
        <v/>
      </c>
      <c r="H79" s="95" t="str">
        <f>IFERROR(__xludf.DUMMYFUNCTION("IFERROR(INDEX(SPLIT($J75, ""-""), 0, 1))"),"")</f>
        <v/>
      </c>
      <c r="J79" s="91"/>
      <c r="K79" s="10" t="s">
        <v>11</v>
      </c>
      <c r="Q79" s="96" t="str">
        <f>IFERROR(__xludf.DUMMYFUNCTION("IFERROR(SUM(SPLIT(J75, ""-"")))"),"")</f>
        <v/>
      </c>
      <c r="R79" s="96" t="str">
        <f>IFERROR(__xludf.DUMMYFUNCTION("IFERROR(INDEX(SPLIT($J75, ""-""), 0, 2))"),"")</f>
        <v/>
      </c>
    </row>
    <row r="80">
      <c r="J80" s="91"/>
    </row>
    <row r="8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row>
    <row r="82">
      <c r="A82" s="103">
        <v>9.0</v>
      </c>
      <c r="B82" s="104"/>
      <c r="C82" s="104"/>
      <c r="D82" s="104"/>
      <c r="E82" s="104"/>
      <c r="F82" s="104"/>
      <c r="G82" s="104"/>
      <c r="H82" s="104"/>
      <c r="I82" s="104"/>
      <c r="J82" s="105" t="s">
        <v>87</v>
      </c>
      <c r="K82" s="104"/>
      <c r="L82" s="104"/>
      <c r="M82" s="104"/>
      <c r="N82" s="104"/>
      <c r="O82" s="104"/>
      <c r="P82" s="104"/>
      <c r="Q82" s="104"/>
      <c r="R82" s="104"/>
      <c r="S82" s="104"/>
      <c r="T82" s="104"/>
      <c r="U82" s="104"/>
      <c r="V82" s="104"/>
      <c r="W82" s="104"/>
      <c r="X82" s="104"/>
      <c r="Y82" s="104"/>
    </row>
    <row r="83">
      <c r="A83" s="104"/>
      <c r="B83" s="104"/>
      <c r="C83" s="104"/>
      <c r="D83" s="104"/>
      <c r="E83" s="104"/>
      <c r="F83" s="104"/>
      <c r="G83" s="104"/>
      <c r="H83" s="104"/>
      <c r="I83" s="104"/>
      <c r="J83" s="112"/>
      <c r="K83" s="104"/>
      <c r="L83" s="104"/>
      <c r="M83" s="104"/>
      <c r="N83" s="104"/>
      <c r="O83" s="104"/>
      <c r="P83" s="104"/>
      <c r="Q83" s="104"/>
      <c r="R83" s="104"/>
      <c r="S83" s="104"/>
      <c r="T83" s="104"/>
      <c r="U83" s="104"/>
      <c r="V83" s="104"/>
      <c r="W83" s="104"/>
      <c r="X83" s="104"/>
      <c r="Y83" s="104"/>
    </row>
    <row r="84">
      <c r="A84" s="104"/>
      <c r="B84" s="104"/>
      <c r="C84" s="104"/>
      <c r="D84" s="104"/>
      <c r="E84" s="104"/>
      <c r="F84" s="106"/>
      <c r="G84" s="104"/>
      <c r="H84" s="106"/>
      <c r="I84" s="104"/>
      <c r="J84" s="104"/>
      <c r="K84" s="104"/>
      <c r="L84" s="104"/>
      <c r="M84" s="104"/>
      <c r="N84" s="104"/>
      <c r="O84" s="104"/>
      <c r="P84" s="106"/>
      <c r="Q84" s="104"/>
      <c r="R84" s="106"/>
      <c r="S84" s="104"/>
      <c r="T84" s="104"/>
      <c r="U84" s="104"/>
      <c r="V84" s="88" t="s">
        <v>88</v>
      </c>
      <c r="W84" s="104"/>
      <c r="X84" s="104"/>
      <c r="Y84" s="104"/>
    </row>
    <row r="85" ht="22.5" customHeight="1">
      <c r="A85" s="2" t="s">
        <v>89</v>
      </c>
      <c r="B85" s="2" t="s">
        <v>90</v>
      </c>
      <c r="C85" s="2" t="s">
        <v>91</v>
      </c>
      <c r="D85" s="2" t="s">
        <v>92</v>
      </c>
      <c r="E85" s="2" t="s">
        <v>5</v>
      </c>
      <c r="F85" s="90" t="s">
        <v>93</v>
      </c>
      <c r="G85" s="2" t="s">
        <v>94</v>
      </c>
      <c r="H85" s="90" t="s">
        <v>46</v>
      </c>
      <c r="I85" s="108" t="s">
        <v>102</v>
      </c>
      <c r="J85" s="104"/>
      <c r="K85" s="2" t="s">
        <v>96</v>
      </c>
      <c r="L85" s="2" t="s">
        <v>90</v>
      </c>
      <c r="M85" s="2" t="s">
        <v>91</v>
      </c>
      <c r="N85" s="2" t="s">
        <v>92</v>
      </c>
      <c r="O85" s="2" t="s">
        <v>5</v>
      </c>
      <c r="P85" s="90" t="s">
        <v>93</v>
      </c>
      <c r="Q85" s="2" t="s">
        <v>94</v>
      </c>
      <c r="R85" s="90" t="s">
        <v>46</v>
      </c>
      <c r="S85" s="108" t="s">
        <v>102</v>
      </c>
      <c r="T85" s="104"/>
      <c r="U85" s="2" t="s">
        <v>97</v>
      </c>
      <c r="V85" s="2" t="s">
        <v>98</v>
      </c>
      <c r="W85" s="2" t="s">
        <v>99</v>
      </c>
      <c r="X85" s="2" t="s">
        <v>100</v>
      </c>
      <c r="Y85" s="2" t="s">
        <v>101</v>
      </c>
    </row>
    <row r="86" ht="22.5" customHeight="1">
      <c r="A86" s="10" t="s">
        <v>14</v>
      </c>
      <c r="G86" s="93" t="str">
        <f>IFERROR(__xludf.DUMMYFUNCTION("IFERROR(SUM(SPLIT(J83, ""-"")))"),"")</f>
        <v/>
      </c>
      <c r="H86" s="93" t="str">
        <f>IFERROR(__xludf.DUMMYFUNCTION("IFERROR(INDEX(SPLIT($J83, ""-""), 0, 1))"),"")</f>
        <v/>
      </c>
      <c r="J86" s="91"/>
      <c r="K86" s="10" t="s">
        <v>28</v>
      </c>
      <c r="Q86" s="93" t="str">
        <f>IFERROR(__xludf.DUMMYFUNCTION("IFERROR(SUM(SPLIT(J83, ""-"")))"),"")</f>
        <v/>
      </c>
      <c r="R86" s="93" t="str">
        <f>IFERROR(__xludf.DUMMYFUNCTION("IFERROR(INDEX(SPLIT($J83, ""-""), 0, 2))"),"")</f>
        <v/>
      </c>
      <c r="S86" s="109"/>
      <c r="T86" s="104"/>
      <c r="U86" s="94"/>
      <c r="V86" s="94"/>
      <c r="W86" s="94"/>
      <c r="X86" s="94"/>
      <c r="Y86" s="94"/>
    </row>
    <row r="87" ht="22.5" customHeight="1">
      <c r="A87" s="10" t="s">
        <v>16</v>
      </c>
      <c r="G87" s="95" t="str">
        <f>IFERROR(__xludf.DUMMYFUNCTION("IFERROR(SUM(SPLIT(J83, ""-"")))"),"")</f>
        <v/>
      </c>
      <c r="H87" s="95" t="str">
        <f>IFERROR(__xludf.DUMMYFUNCTION("IFERROR(INDEX(SPLIT($J83, ""-""), 0, 1))"),"")</f>
        <v/>
      </c>
      <c r="J87" s="91"/>
      <c r="K87" s="10" t="s">
        <v>20</v>
      </c>
      <c r="Q87" s="96" t="str">
        <f>IFERROR(__xludf.DUMMYFUNCTION("IFERROR(SUM(SPLIT(J83, ""-"")))"),"")</f>
        <v/>
      </c>
      <c r="R87" s="96" t="str">
        <f>IFERROR(__xludf.DUMMYFUNCTION("IFERROR(INDEX(SPLIT($J83, ""-""), 0, 2))"),"")</f>
        <v/>
      </c>
      <c r="S87" s="110"/>
      <c r="T87" s="104"/>
      <c r="U87" s="104"/>
      <c r="V87" s="104"/>
      <c r="W87" s="104"/>
      <c r="X87" s="104"/>
      <c r="Y87" s="104"/>
    </row>
    <row r="89">
      <c r="A89" s="80"/>
      <c r="B89" s="81"/>
      <c r="C89" s="81"/>
      <c r="D89" s="81"/>
      <c r="E89" s="81"/>
      <c r="F89" s="81"/>
      <c r="G89" s="81"/>
      <c r="H89" s="81"/>
      <c r="I89" s="81"/>
      <c r="J89" s="80" t="s">
        <v>106</v>
      </c>
      <c r="K89" s="81"/>
      <c r="L89" s="81"/>
      <c r="M89" s="80" t="s">
        <v>85</v>
      </c>
      <c r="N89" s="81"/>
      <c r="O89" s="80" t="s">
        <v>11</v>
      </c>
      <c r="P89" s="81"/>
      <c r="Q89" s="81"/>
      <c r="R89" s="81"/>
      <c r="S89" s="81"/>
      <c r="T89" s="80" t="s">
        <v>106</v>
      </c>
      <c r="U89" s="81"/>
      <c r="V89" s="81"/>
      <c r="W89" s="81"/>
      <c r="X89" s="81"/>
      <c r="Y89" s="81"/>
    </row>
    <row r="90">
      <c r="A90" s="84">
        <v>13.0</v>
      </c>
      <c r="J90" s="86" t="s">
        <v>87</v>
      </c>
    </row>
    <row r="91">
      <c r="J91" s="111"/>
      <c r="V91" s="88" t="s">
        <v>88</v>
      </c>
    </row>
    <row r="92" ht="22.5" customHeight="1">
      <c r="A92" s="2" t="s">
        <v>89</v>
      </c>
      <c r="B92" s="2" t="s">
        <v>90</v>
      </c>
      <c r="C92" s="2" t="s">
        <v>91</v>
      </c>
      <c r="D92" s="2" t="s">
        <v>92</v>
      </c>
      <c r="E92" s="2" t="s">
        <v>5</v>
      </c>
      <c r="F92" s="90" t="s">
        <v>93</v>
      </c>
      <c r="G92" s="2" t="s">
        <v>94</v>
      </c>
      <c r="H92" s="90" t="s">
        <v>46</v>
      </c>
      <c r="I92" s="2" t="s">
        <v>95</v>
      </c>
      <c r="J92" s="91"/>
      <c r="K92" s="2" t="s">
        <v>96</v>
      </c>
      <c r="L92" s="2" t="s">
        <v>90</v>
      </c>
      <c r="M92" s="2" t="s">
        <v>91</v>
      </c>
      <c r="N92" s="2" t="s">
        <v>92</v>
      </c>
      <c r="O92" s="2" t="s">
        <v>5</v>
      </c>
      <c r="P92" s="90" t="s">
        <v>93</v>
      </c>
      <c r="Q92" s="2" t="s">
        <v>94</v>
      </c>
      <c r="R92" s="90" t="s">
        <v>46</v>
      </c>
      <c r="S92" s="2" t="s">
        <v>95</v>
      </c>
      <c r="U92" s="2" t="s">
        <v>97</v>
      </c>
      <c r="V92" s="2" t="s">
        <v>98</v>
      </c>
      <c r="W92" s="2" t="s">
        <v>99</v>
      </c>
      <c r="X92" s="2" t="s">
        <v>100</v>
      </c>
      <c r="Y92" s="2" t="s">
        <v>101</v>
      </c>
    </row>
    <row r="93" ht="22.5" customHeight="1">
      <c r="A93" s="10" t="s">
        <v>26</v>
      </c>
      <c r="G93" s="93" t="str">
        <f>IFERROR(__xludf.DUMMYFUNCTION("IFERROR(SUM(SPLIT(J91, ""-"")))"),"")</f>
        <v/>
      </c>
      <c r="H93" s="93" t="str">
        <f>IFERROR(__xludf.DUMMYFUNCTION("IFERROR(INDEX(SPLIT($J91, ""-""), 0, 1))"),"")</f>
        <v/>
      </c>
      <c r="J93" s="91"/>
      <c r="K93" s="10" t="s">
        <v>16</v>
      </c>
      <c r="Q93" s="93" t="str">
        <f>IFERROR(__xludf.DUMMYFUNCTION("IFERROR(SUM(SPLIT(J91, ""-"")))"),"")</f>
        <v/>
      </c>
      <c r="R93" s="93" t="str">
        <f>IFERROR(__xludf.DUMMYFUNCTION("IFERROR(INDEX(SPLIT($J91, ""-""), 0, 2))"),"")</f>
        <v/>
      </c>
      <c r="U93" s="94"/>
      <c r="V93" s="94"/>
      <c r="W93" s="94"/>
      <c r="X93" s="94"/>
      <c r="Y93" s="94"/>
    </row>
    <row r="94" ht="22.5" customHeight="1">
      <c r="A94" s="10" t="s">
        <v>18</v>
      </c>
      <c r="G94" s="95" t="str">
        <f>IFERROR(__xludf.DUMMYFUNCTION("IFERROR(SUM(SPLIT(J91, ""-"")))"),"")</f>
        <v/>
      </c>
      <c r="H94" s="95" t="str">
        <f>IFERROR(__xludf.DUMMYFUNCTION("IFERROR(INDEX(SPLIT($J91, ""-""), 0, 1))"),"")</f>
        <v/>
      </c>
      <c r="J94" s="91"/>
      <c r="K94" s="10" t="s">
        <v>20</v>
      </c>
      <c r="Q94" s="96" t="str">
        <f>IFERROR(__xludf.DUMMYFUNCTION("IFERROR(SUM(SPLIT(J91, ""-"")))"),"")</f>
        <v/>
      </c>
      <c r="R94" s="96" t="str">
        <f>IFERROR(__xludf.DUMMYFUNCTION("IFERROR(INDEX(SPLIT($J91, ""-""), 0, 2))"),"")</f>
        <v/>
      </c>
    </row>
    <row r="95">
      <c r="A95" s="97"/>
      <c r="B95" s="97"/>
      <c r="C95" s="97"/>
      <c r="D95" s="97"/>
      <c r="E95" s="97"/>
      <c r="F95" s="97"/>
      <c r="G95" s="97"/>
      <c r="H95" s="97"/>
      <c r="I95" s="97"/>
      <c r="J95" s="98"/>
      <c r="K95" s="97"/>
      <c r="L95" s="97"/>
      <c r="M95" s="97"/>
      <c r="N95" s="97"/>
      <c r="O95" s="97"/>
      <c r="P95" s="97"/>
      <c r="Q95" s="97"/>
      <c r="R95" s="97"/>
      <c r="S95" s="97"/>
      <c r="T95" s="97"/>
      <c r="U95" s="97"/>
      <c r="V95" s="97"/>
      <c r="W95" s="97"/>
      <c r="X95" s="97"/>
      <c r="Y95" s="97"/>
    </row>
    <row r="96">
      <c r="A96" s="84">
        <v>14.0</v>
      </c>
      <c r="F96" s="85" t="s">
        <v>86</v>
      </c>
      <c r="J96" s="86" t="s">
        <v>87</v>
      </c>
    </row>
    <row r="97">
      <c r="J97" s="87"/>
    </row>
    <row r="98">
      <c r="F98" s="99"/>
      <c r="H98" s="99"/>
      <c r="J98" s="91"/>
      <c r="P98" s="99"/>
      <c r="R98" s="99"/>
      <c r="V98" s="88" t="s">
        <v>88</v>
      </c>
    </row>
    <row r="99" ht="22.5" customHeight="1">
      <c r="A99" s="2" t="s">
        <v>89</v>
      </c>
      <c r="B99" s="2" t="s">
        <v>90</v>
      </c>
      <c r="C99" s="2" t="s">
        <v>91</v>
      </c>
      <c r="D99" s="2" t="s">
        <v>92</v>
      </c>
      <c r="E99" s="2" t="s">
        <v>5</v>
      </c>
      <c r="F99" s="90" t="s">
        <v>93</v>
      </c>
      <c r="G99" s="2" t="s">
        <v>94</v>
      </c>
      <c r="H99" s="90" t="s">
        <v>46</v>
      </c>
      <c r="I99" s="4" t="s">
        <v>102</v>
      </c>
      <c r="J99" s="91"/>
      <c r="K99" s="2" t="s">
        <v>96</v>
      </c>
      <c r="L99" s="2" t="s">
        <v>90</v>
      </c>
      <c r="M99" s="2" t="s">
        <v>91</v>
      </c>
      <c r="N99" s="2" t="s">
        <v>92</v>
      </c>
      <c r="O99" s="2" t="s">
        <v>5</v>
      </c>
      <c r="P99" s="90" t="s">
        <v>93</v>
      </c>
      <c r="Q99" s="2" t="s">
        <v>94</v>
      </c>
      <c r="R99" s="90" t="s">
        <v>46</v>
      </c>
      <c r="S99" s="4" t="s">
        <v>102</v>
      </c>
      <c r="U99" s="2" t="s">
        <v>97</v>
      </c>
      <c r="V99" s="2" t="s">
        <v>98</v>
      </c>
      <c r="W99" s="2" t="s">
        <v>99</v>
      </c>
      <c r="X99" s="2" t="s">
        <v>100</v>
      </c>
      <c r="Y99" s="2" t="s">
        <v>101</v>
      </c>
    </row>
    <row r="100" ht="22.5" customHeight="1">
      <c r="A100" s="10" t="s">
        <v>10</v>
      </c>
      <c r="G100" s="93" t="str">
        <f>IFERROR(__xludf.DUMMYFUNCTION("IFERROR(SUM(SPLIT(J97, ""-"")))"),"")</f>
        <v/>
      </c>
      <c r="H100" s="93" t="str">
        <f>IFERROR(__xludf.DUMMYFUNCTION("IFERROR(INDEX(SPLIT($J97, ""-""), 0, 1))"),"")</f>
        <v/>
      </c>
      <c r="J100" s="91"/>
      <c r="K100" s="10" t="s">
        <v>24</v>
      </c>
      <c r="Q100" s="93" t="str">
        <f>IFERROR(__xludf.DUMMYFUNCTION("IFERROR(SUM(SPLIT(J97, ""-"")))"),"")</f>
        <v/>
      </c>
      <c r="R100" s="93" t="str">
        <f>IFERROR(__xludf.DUMMYFUNCTION("IFERROR(INDEX(SPLIT($J97, ""-""), 0, 2))"),"")</f>
        <v/>
      </c>
      <c r="U100" s="94"/>
      <c r="V100" s="94"/>
      <c r="W100" s="94"/>
      <c r="X100" s="94"/>
      <c r="Y100" s="94"/>
    </row>
    <row r="101" ht="22.5" customHeight="1">
      <c r="A101" s="10" t="s">
        <v>22</v>
      </c>
      <c r="G101" s="95" t="str">
        <f>IFERROR(__xludf.DUMMYFUNCTION("IFERROR(SUM(SPLIT(J97, ""-"")))"),"")</f>
        <v/>
      </c>
      <c r="H101" s="95" t="str">
        <f>IFERROR(__xludf.DUMMYFUNCTION("IFERROR(INDEX(SPLIT($J97, ""-""), 0, 1))"),"")</f>
        <v/>
      </c>
      <c r="J101" s="91"/>
      <c r="K101" s="10" t="s">
        <v>28</v>
      </c>
      <c r="Q101" s="96" t="str">
        <f>IFERROR(__xludf.DUMMYFUNCTION("IFERROR(SUM(SPLIT(J97, ""-"")))"),"")</f>
        <v/>
      </c>
      <c r="R101" s="96" t="str">
        <f>IFERROR(__xludf.DUMMYFUNCTION("IFERROR(INDEX(SPLIT($J97, ""-""), 0, 2))"),"")</f>
        <v/>
      </c>
    </row>
    <row r="102">
      <c r="J102" s="91"/>
    </row>
    <row r="103">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row>
    <row r="104">
      <c r="A104" s="103">
        <v>15.0</v>
      </c>
      <c r="B104" s="104"/>
      <c r="C104" s="104"/>
      <c r="D104" s="104"/>
      <c r="E104" s="104"/>
      <c r="F104" s="104"/>
      <c r="G104" s="104"/>
      <c r="H104" s="104"/>
      <c r="I104" s="104"/>
      <c r="J104" s="105" t="s">
        <v>87</v>
      </c>
      <c r="K104" s="104"/>
      <c r="L104" s="104"/>
      <c r="M104" s="104"/>
      <c r="N104" s="104"/>
      <c r="O104" s="104"/>
      <c r="P104" s="104"/>
      <c r="Q104" s="104"/>
      <c r="R104" s="104"/>
      <c r="S104" s="104"/>
      <c r="T104" s="104"/>
      <c r="U104" s="104"/>
      <c r="V104" s="104"/>
      <c r="W104" s="104"/>
      <c r="X104" s="104"/>
      <c r="Y104" s="104"/>
    </row>
    <row r="105">
      <c r="A105" s="104"/>
      <c r="B105" s="104"/>
      <c r="C105" s="104"/>
      <c r="D105" s="104"/>
      <c r="E105" s="104"/>
      <c r="F105" s="104"/>
      <c r="G105" s="104"/>
      <c r="H105" s="104"/>
      <c r="I105" s="104"/>
      <c r="J105" s="112"/>
      <c r="K105" s="104"/>
      <c r="L105" s="104"/>
      <c r="M105" s="104"/>
      <c r="N105" s="104"/>
      <c r="O105" s="104"/>
      <c r="P105" s="104"/>
      <c r="Q105" s="104"/>
      <c r="R105" s="104"/>
      <c r="S105" s="104"/>
      <c r="T105" s="104"/>
      <c r="U105" s="104"/>
      <c r="V105" s="104"/>
      <c r="W105" s="104"/>
      <c r="X105" s="104"/>
      <c r="Y105" s="104"/>
    </row>
    <row r="106">
      <c r="A106" s="104"/>
      <c r="B106" s="104"/>
      <c r="C106" s="104"/>
      <c r="D106" s="104"/>
      <c r="E106" s="104"/>
      <c r="F106" s="106"/>
      <c r="G106" s="104"/>
      <c r="H106" s="106"/>
      <c r="I106" s="104"/>
      <c r="J106" s="104"/>
      <c r="K106" s="104"/>
      <c r="L106" s="104"/>
      <c r="M106" s="104"/>
      <c r="N106" s="104"/>
      <c r="O106" s="104"/>
      <c r="P106" s="106"/>
      <c r="Q106" s="104"/>
      <c r="R106" s="106"/>
      <c r="S106" s="104"/>
      <c r="T106" s="104"/>
      <c r="U106" s="104"/>
      <c r="V106" s="88" t="s">
        <v>88</v>
      </c>
      <c r="W106" s="104"/>
      <c r="X106" s="104"/>
      <c r="Y106" s="104"/>
    </row>
    <row r="107" ht="22.5" customHeight="1">
      <c r="A107" s="2" t="s">
        <v>89</v>
      </c>
      <c r="B107" s="2" t="s">
        <v>90</v>
      </c>
      <c r="C107" s="2" t="s">
        <v>91</v>
      </c>
      <c r="D107" s="2" t="s">
        <v>92</v>
      </c>
      <c r="E107" s="2" t="s">
        <v>5</v>
      </c>
      <c r="F107" s="90" t="s">
        <v>93</v>
      </c>
      <c r="G107" s="2" t="s">
        <v>94</v>
      </c>
      <c r="H107" s="90" t="s">
        <v>46</v>
      </c>
      <c r="I107" s="108" t="s">
        <v>102</v>
      </c>
      <c r="J107" s="104"/>
      <c r="K107" s="2" t="s">
        <v>96</v>
      </c>
      <c r="L107" s="2" t="s">
        <v>90</v>
      </c>
      <c r="M107" s="2" t="s">
        <v>91</v>
      </c>
      <c r="N107" s="2" t="s">
        <v>92</v>
      </c>
      <c r="O107" s="2" t="s">
        <v>5</v>
      </c>
      <c r="P107" s="90" t="s">
        <v>93</v>
      </c>
      <c r="Q107" s="2" t="s">
        <v>94</v>
      </c>
      <c r="R107" s="90" t="s">
        <v>46</v>
      </c>
      <c r="S107" s="108" t="s">
        <v>102</v>
      </c>
      <c r="T107" s="104"/>
      <c r="U107" s="2" t="s">
        <v>97</v>
      </c>
      <c r="V107" s="2" t="s">
        <v>98</v>
      </c>
      <c r="W107" s="2" t="s">
        <v>99</v>
      </c>
      <c r="X107" s="2" t="s">
        <v>100</v>
      </c>
      <c r="Y107" s="2" t="s">
        <v>101</v>
      </c>
      <c r="AK107" s="79"/>
      <c r="AL107" s="79"/>
      <c r="AM107" s="79"/>
      <c r="AN107" s="79"/>
    </row>
    <row r="108" ht="22.5" customHeight="1">
      <c r="A108" s="10" t="s">
        <v>31</v>
      </c>
      <c r="G108" s="93" t="str">
        <f>IFERROR(__xludf.DUMMYFUNCTION("IFERROR(SUM(SPLIT(J105, ""-"")))"),"")</f>
        <v/>
      </c>
      <c r="H108" s="93" t="str">
        <f>IFERROR(__xludf.DUMMYFUNCTION("IFERROR(INDEX(SPLIT($J105, ""-""), 0, 1))"),"")</f>
        <v/>
      </c>
      <c r="J108" s="91"/>
      <c r="K108" s="10" t="s">
        <v>12</v>
      </c>
      <c r="Q108" s="93" t="str">
        <f>IFERROR(__xludf.DUMMYFUNCTION("IFERROR(SUM(SPLIT(J105, ""-"")))"),"")</f>
        <v/>
      </c>
      <c r="R108" s="93" t="str">
        <f>IFERROR(__xludf.DUMMYFUNCTION("IFERROR(INDEX(SPLIT($J105, ""-""), 0, 2))"),"")</f>
        <v/>
      </c>
      <c r="S108" s="109"/>
      <c r="T108" s="104"/>
      <c r="U108" s="94"/>
      <c r="V108" s="94"/>
      <c r="W108" s="94"/>
      <c r="X108" s="94"/>
      <c r="Y108" s="94"/>
      <c r="AK108" s="79"/>
      <c r="AL108" s="79"/>
      <c r="AM108" s="79"/>
      <c r="AN108" s="79"/>
    </row>
    <row r="109" ht="22.5" customHeight="1">
      <c r="A109" s="10" t="s">
        <v>30</v>
      </c>
      <c r="G109" s="95" t="str">
        <f>IFERROR(__xludf.DUMMYFUNCTION("IFERROR(SUM(SPLIT(J105, ""-"")))"),"")</f>
        <v/>
      </c>
      <c r="H109" s="95" t="str">
        <f>IFERROR(__xludf.DUMMYFUNCTION("IFERROR(INDEX(SPLIT($J105, ""-""), 0, 1))"),"")</f>
        <v/>
      </c>
      <c r="J109" s="91"/>
      <c r="K109" s="10" t="s">
        <v>14</v>
      </c>
      <c r="Q109" s="96" t="str">
        <f>IFERROR(__xludf.DUMMYFUNCTION("IFERROR(SUM(SPLIT(J105, ""-"")))"),"")</f>
        <v/>
      </c>
      <c r="R109" s="96" t="str">
        <f>IFERROR(__xludf.DUMMYFUNCTION("IFERROR(INDEX(SPLIT($J105, ""-""), 0, 2))"),"")</f>
        <v/>
      </c>
      <c r="S109" s="110"/>
      <c r="T109" s="104"/>
      <c r="U109" s="104"/>
      <c r="V109" s="104"/>
      <c r="W109" s="104"/>
      <c r="X109" s="104"/>
      <c r="Y109" s="104"/>
      <c r="AK109" s="79"/>
      <c r="AL109" s="79"/>
      <c r="AM109" s="79"/>
      <c r="AN109" s="79"/>
    </row>
    <row r="110">
      <c r="AK110" s="79"/>
      <c r="AL110" s="79"/>
      <c r="AM110" s="79"/>
      <c r="AN110" s="79"/>
    </row>
    <row r="111">
      <c r="A111" s="80"/>
      <c r="B111" s="81"/>
      <c r="C111" s="81"/>
      <c r="D111" s="81"/>
      <c r="E111" s="81"/>
      <c r="F111" s="81"/>
      <c r="G111" s="81"/>
      <c r="H111" s="81"/>
      <c r="I111" s="81"/>
      <c r="J111" s="80" t="s">
        <v>107</v>
      </c>
      <c r="K111" s="81"/>
      <c r="L111" s="81"/>
      <c r="M111" s="80" t="s">
        <v>85</v>
      </c>
      <c r="N111" s="81"/>
      <c r="O111" s="80" t="s">
        <v>14</v>
      </c>
      <c r="P111" s="81"/>
      <c r="Q111" s="81"/>
      <c r="R111" s="81"/>
      <c r="S111" s="81"/>
      <c r="T111" s="80" t="s">
        <v>107</v>
      </c>
      <c r="U111" s="81"/>
      <c r="V111" s="81"/>
      <c r="W111" s="81"/>
      <c r="X111" s="81"/>
      <c r="Y111" s="81"/>
      <c r="AK111" s="79"/>
      <c r="AL111" s="79"/>
      <c r="AM111" s="79"/>
      <c r="AN111" s="79"/>
      <c r="AO111" s="84"/>
      <c r="AP111" s="84"/>
      <c r="AQ111" s="84"/>
      <c r="AR111" s="84"/>
      <c r="AS111" s="84"/>
      <c r="AT111" s="84"/>
      <c r="AU111" s="84"/>
      <c r="AV111" s="84"/>
      <c r="AW111" s="84"/>
      <c r="AX111" s="84"/>
    </row>
    <row r="112">
      <c r="A112" s="84">
        <v>16.0</v>
      </c>
      <c r="J112" s="86" t="s">
        <v>87</v>
      </c>
      <c r="AK112" s="79"/>
      <c r="AL112" s="79"/>
      <c r="AM112" s="79"/>
      <c r="AN112" s="79"/>
    </row>
    <row r="113">
      <c r="J113" s="111"/>
      <c r="V113" s="88" t="s">
        <v>88</v>
      </c>
      <c r="AK113" s="79"/>
      <c r="AL113" s="79"/>
      <c r="AM113" s="79"/>
      <c r="AN113" s="79"/>
    </row>
    <row r="114" ht="22.5" customHeight="1">
      <c r="A114" s="2" t="s">
        <v>89</v>
      </c>
      <c r="B114" s="2" t="s">
        <v>90</v>
      </c>
      <c r="C114" s="2" t="s">
        <v>91</v>
      </c>
      <c r="D114" s="2" t="s">
        <v>92</v>
      </c>
      <c r="E114" s="2" t="s">
        <v>5</v>
      </c>
      <c r="F114" s="90" t="s">
        <v>93</v>
      </c>
      <c r="G114" s="2" t="s">
        <v>94</v>
      </c>
      <c r="H114" s="90" t="s">
        <v>46</v>
      </c>
      <c r="I114" s="2" t="s">
        <v>95</v>
      </c>
      <c r="J114" s="91"/>
      <c r="K114" s="2" t="s">
        <v>96</v>
      </c>
      <c r="L114" s="2" t="s">
        <v>90</v>
      </c>
      <c r="M114" s="2" t="s">
        <v>91</v>
      </c>
      <c r="N114" s="2" t="s">
        <v>92</v>
      </c>
      <c r="O114" s="2" t="s">
        <v>5</v>
      </c>
      <c r="P114" s="90" t="s">
        <v>93</v>
      </c>
      <c r="Q114" s="2" t="s">
        <v>94</v>
      </c>
      <c r="R114" s="90" t="s">
        <v>46</v>
      </c>
      <c r="S114" s="2" t="s">
        <v>95</v>
      </c>
      <c r="U114" s="2" t="s">
        <v>97</v>
      </c>
      <c r="V114" s="2" t="s">
        <v>98</v>
      </c>
      <c r="W114" s="2" t="s">
        <v>99</v>
      </c>
      <c r="X114" s="2" t="s">
        <v>100</v>
      </c>
      <c r="Y114" s="2" t="s">
        <v>101</v>
      </c>
      <c r="AK114" s="79"/>
      <c r="AL114" s="79"/>
      <c r="AM114" s="79"/>
      <c r="AN114" s="79"/>
    </row>
    <row r="115" ht="22.5" customHeight="1">
      <c r="A115" s="10" t="s">
        <v>11</v>
      </c>
      <c r="G115" s="93" t="str">
        <f>IFERROR(__xludf.DUMMYFUNCTION("IFERROR(SUM(SPLIT(J113, ""-"")))"),"")</f>
        <v/>
      </c>
      <c r="H115" s="93" t="str">
        <f>IFERROR(__xludf.DUMMYFUNCTION("IFERROR(INDEX(SPLIT($J113, ""-""), 0, 1))"),"")</f>
        <v/>
      </c>
      <c r="J115" s="91"/>
      <c r="K115" s="10" t="s">
        <v>30</v>
      </c>
      <c r="Q115" s="93" t="str">
        <f>IFERROR(__xludf.DUMMYFUNCTION("IFERROR(SUM(SPLIT(J113, ""-"")))"),"")</f>
        <v/>
      </c>
      <c r="R115" s="93" t="str">
        <f>IFERROR(__xludf.DUMMYFUNCTION("IFERROR(INDEX(SPLIT($J113, ""-""), 0, 2))"),"")</f>
        <v/>
      </c>
      <c r="U115" s="94"/>
      <c r="V115" s="94"/>
      <c r="W115" s="94"/>
      <c r="X115" s="94"/>
      <c r="Y115" s="94"/>
      <c r="AA115" s="107"/>
      <c r="AK115" s="79"/>
      <c r="AL115" s="79"/>
      <c r="AM115" s="79"/>
      <c r="AN115" s="79"/>
    </row>
    <row r="116" ht="22.5" customHeight="1">
      <c r="A116" s="10" t="s">
        <v>22</v>
      </c>
      <c r="G116" s="95" t="str">
        <f>IFERROR(__xludf.DUMMYFUNCTION("IFERROR(SUM(SPLIT(J113, ""-"")))"),"")</f>
        <v/>
      </c>
      <c r="H116" s="95" t="str">
        <f>IFERROR(__xludf.DUMMYFUNCTION("IFERROR(INDEX(SPLIT($J113, ""-""), 0, 1))"),"")</f>
        <v/>
      </c>
      <c r="J116" s="91"/>
      <c r="K116" s="10" t="s">
        <v>20</v>
      </c>
      <c r="Q116" s="96" t="str">
        <f>IFERROR(__xludf.DUMMYFUNCTION("IFERROR(SUM(SPLIT(J113, ""-"")))"),"")</f>
        <v/>
      </c>
      <c r="R116" s="96" t="str">
        <f>IFERROR(__xludf.DUMMYFUNCTION("IFERROR(INDEX(SPLIT($J113, ""-""), 0, 2))"),"")</f>
        <v/>
      </c>
    </row>
    <row r="117">
      <c r="A117" s="97"/>
      <c r="B117" s="97"/>
      <c r="C117" s="97"/>
      <c r="D117" s="97"/>
      <c r="E117" s="97"/>
      <c r="F117" s="97"/>
      <c r="G117" s="97"/>
      <c r="H117" s="97"/>
      <c r="I117" s="97"/>
      <c r="J117" s="98"/>
      <c r="K117" s="97"/>
      <c r="L117" s="97"/>
      <c r="M117" s="97"/>
      <c r="N117" s="97"/>
      <c r="O117" s="97"/>
      <c r="P117" s="97"/>
      <c r="Q117" s="97"/>
      <c r="R117" s="97"/>
      <c r="S117" s="97"/>
      <c r="T117" s="97"/>
      <c r="U117" s="97"/>
      <c r="V117" s="97"/>
      <c r="W117" s="97"/>
      <c r="X117" s="97"/>
      <c r="Y117" s="97"/>
    </row>
    <row r="118">
      <c r="A118" s="84">
        <v>17.0</v>
      </c>
      <c r="E118" s="85" t="s">
        <v>86</v>
      </c>
      <c r="J118" s="86" t="s">
        <v>87</v>
      </c>
    </row>
    <row r="119">
      <c r="J119" s="87"/>
    </row>
    <row r="120">
      <c r="F120" s="99"/>
      <c r="H120" s="99"/>
      <c r="J120" s="91"/>
      <c r="P120" s="99"/>
      <c r="R120" s="99"/>
      <c r="V120" s="88" t="s">
        <v>88</v>
      </c>
    </row>
    <row r="121" ht="22.5" customHeight="1">
      <c r="A121" s="2" t="s">
        <v>89</v>
      </c>
      <c r="B121" s="2" t="s">
        <v>90</v>
      </c>
      <c r="C121" s="2" t="s">
        <v>91</v>
      </c>
      <c r="D121" s="2" t="s">
        <v>92</v>
      </c>
      <c r="E121" s="2" t="s">
        <v>5</v>
      </c>
      <c r="F121" s="90" t="s">
        <v>93</v>
      </c>
      <c r="G121" s="2" t="s">
        <v>94</v>
      </c>
      <c r="H121" s="90" t="s">
        <v>46</v>
      </c>
      <c r="I121" s="4" t="s">
        <v>102</v>
      </c>
      <c r="J121" s="91"/>
      <c r="K121" s="2" t="s">
        <v>96</v>
      </c>
      <c r="L121" s="2" t="s">
        <v>90</v>
      </c>
      <c r="M121" s="2" t="s">
        <v>91</v>
      </c>
      <c r="N121" s="2" t="s">
        <v>92</v>
      </c>
      <c r="O121" s="2" t="s">
        <v>5</v>
      </c>
      <c r="P121" s="90" t="s">
        <v>93</v>
      </c>
      <c r="Q121" s="2" t="s">
        <v>94</v>
      </c>
      <c r="R121" s="90" t="s">
        <v>46</v>
      </c>
      <c r="S121" s="4" t="s">
        <v>102</v>
      </c>
      <c r="U121" s="2" t="s">
        <v>97</v>
      </c>
      <c r="V121" s="2" t="s">
        <v>98</v>
      </c>
      <c r="W121" s="2" t="s">
        <v>99</v>
      </c>
      <c r="X121" s="2" t="s">
        <v>100</v>
      </c>
      <c r="Y121" s="2" t="s">
        <v>101</v>
      </c>
    </row>
    <row r="122" ht="22.5" customHeight="1">
      <c r="A122" s="10" t="s">
        <v>10</v>
      </c>
      <c r="G122" s="93" t="str">
        <f>IFERROR(__xludf.DUMMYFUNCTION("IFERROR(SUM(SPLIT(J119, ""-"")))"),"")</f>
        <v/>
      </c>
      <c r="H122" s="93" t="str">
        <f>IFERROR(__xludf.DUMMYFUNCTION("IFERROR(INDEX(SPLIT($J119, ""-""), 0, 1))"),"")</f>
        <v/>
      </c>
      <c r="J122" s="91"/>
      <c r="K122" s="10" t="s">
        <v>31</v>
      </c>
      <c r="Q122" s="93" t="str">
        <f>IFERROR(__xludf.DUMMYFUNCTION("IFERROR(SUM(SPLIT(J119, ""-"")))"),"")</f>
        <v/>
      </c>
      <c r="R122" s="93" t="str">
        <f>IFERROR(__xludf.DUMMYFUNCTION("IFERROR(INDEX(SPLIT($J119, ""-""), 0, 2))"),"")</f>
        <v/>
      </c>
      <c r="U122" s="94"/>
      <c r="V122" s="94"/>
      <c r="W122" s="94"/>
      <c r="X122" s="94"/>
      <c r="Y122" s="94"/>
    </row>
    <row r="123" ht="22.5" customHeight="1">
      <c r="A123" s="10" t="s">
        <v>18</v>
      </c>
      <c r="G123" s="95" t="str">
        <f>IFERROR(__xludf.DUMMYFUNCTION("IFERROR(SUM(SPLIT(J119, ""-"")))"),"")</f>
        <v/>
      </c>
      <c r="H123" s="95" t="str">
        <f>IFERROR(__xludf.DUMMYFUNCTION("IFERROR(INDEX(SPLIT($J119, ""-""), 0, 1))"),"")</f>
        <v/>
      </c>
      <c r="J123" s="91"/>
      <c r="K123" s="10" t="s">
        <v>12</v>
      </c>
      <c r="Q123" s="96" t="str">
        <f>IFERROR(__xludf.DUMMYFUNCTION("IFERROR(SUM(SPLIT(J119, ""-"")))"),"")</f>
        <v/>
      </c>
      <c r="R123" s="96" t="str">
        <f>IFERROR(__xludf.DUMMYFUNCTION("IFERROR(INDEX(SPLIT($J119, ""-""), 0, 2))"),"")</f>
        <v/>
      </c>
    </row>
    <row r="124">
      <c r="J124" s="91"/>
    </row>
    <row r="125">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row>
    <row r="126">
      <c r="A126" s="103">
        <v>18.0</v>
      </c>
      <c r="B126" s="104"/>
      <c r="C126" s="104"/>
      <c r="D126" s="104"/>
      <c r="E126" s="104"/>
      <c r="F126" s="104"/>
      <c r="G126" s="104"/>
      <c r="H126" s="104"/>
      <c r="I126" s="104"/>
      <c r="J126" s="105" t="s">
        <v>87</v>
      </c>
      <c r="K126" s="104"/>
      <c r="L126" s="104"/>
      <c r="M126" s="104"/>
      <c r="N126" s="104"/>
      <c r="O126" s="104"/>
      <c r="P126" s="104"/>
      <c r="Q126" s="104"/>
      <c r="R126" s="104"/>
      <c r="S126" s="104"/>
      <c r="T126" s="104"/>
      <c r="U126" s="104"/>
      <c r="V126" s="104"/>
      <c r="W126" s="104"/>
      <c r="X126" s="104"/>
      <c r="Y126" s="104"/>
    </row>
    <row r="127">
      <c r="A127" s="104"/>
      <c r="B127" s="104"/>
      <c r="C127" s="104"/>
      <c r="D127" s="104"/>
      <c r="E127" s="104"/>
      <c r="F127" s="104"/>
      <c r="G127" s="104"/>
      <c r="H127" s="104"/>
      <c r="I127" s="104"/>
      <c r="J127" s="112"/>
      <c r="K127" s="104"/>
      <c r="L127" s="104"/>
      <c r="M127" s="104"/>
      <c r="N127" s="104"/>
      <c r="O127" s="104"/>
      <c r="P127" s="104"/>
      <c r="Q127" s="104"/>
      <c r="R127" s="104"/>
      <c r="S127" s="104"/>
      <c r="T127" s="104"/>
      <c r="U127" s="104"/>
      <c r="V127" s="104"/>
      <c r="W127" s="104"/>
      <c r="X127" s="104"/>
      <c r="Y127" s="104"/>
    </row>
    <row r="128">
      <c r="A128" s="104"/>
      <c r="B128" s="104"/>
      <c r="C128" s="104"/>
      <c r="D128" s="104"/>
      <c r="E128" s="104"/>
      <c r="F128" s="106"/>
      <c r="G128" s="104"/>
      <c r="H128" s="106"/>
      <c r="I128" s="104"/>
      <c r="J128" s="104"/>
      <c r="K128" s="104"/>
      <c r="L128" s="104"/>
      <c r="M128" s="104"/>
      <c r="N128" s="104"/>
      <c r="O128" s="104"/>
      <c r="P128" s="106"/>
      <c r="Q128" s="104"/>
      <c r="R128" s="106"/>
      <c r="S128" s="104"/>
      <c r="T128" s="104"/>
      <c r="U128" s="104"/>
      <c r="V128" s="88" t="s">
        <v>88</v>
      </c>
      <c r="W128" s="104"/>
      <c r="X128" s="104"/>
      <c r="Y128" s="104"/>
    </row>
    <row r="129" ht="22.5" customHeight="1">
      <c r="A129" s="2" t="s">
        <v>89</v>
      </c>
      <c r="B129" s="2" t="s">
        <v>90</v>
      </c>
      <c r="C129" s="2" t="s">
        <v>91</v>
      </c>
      <c r="D129" s="2" t="s">
        <v>92</v>
      </c>
      <c r="E129" s="2" t="s">
        <v>5</v>
      </c>
      <c r="F129" s="90" t="s">
        <v>93</v>
      </c>
      <c r="G129" s="2" t="s">
        <v>94</v>
      </c>
      <c r="H129" s="90" t="s">
        <v>46</v>
      </c>
      <c r="I129" s="108" t="s">
        <v>102</v>
      </c>
      <c r="J129" s="104"/>
      <c r="K129" s="2" t="s">
        <v>96</v>
      </c>
      <c r="L129" s="2" t="s">
        <v>90</v>
      </c>
      <c r="M129" s="2" t="s">
        <v>91</v>
      </c>
      <c r="N129" s="2" t="s">
        <v>92</v>
      </c>
      <c r="O129" s="2" t="s">
        <v>5</v>
      </c>
      <c r="P129" s="90" t="s">
        <v>93</v>
      </c>
      <c r="Q129" s="2" t="s">
        <v>94</v>
      </c>
      <c r="R129" s="90" t="s">
        <v>46</v>
      </c>
      <c r="S129" s="108" t="s">
        <v>102</v>
      </c>
      <c r="T129" s="104"/>
      <c r="U129" s="2" t="s">
        <v>97</v>
      </c>
      <c r="V129" s="2" t="s">
        <v>98</v>
      </c>
      <c r="W129" s="2" t="s">
        <v>99</v>
      </c>
      <c r="X129" s="2" t="s">
        <v>100</v>
      </c>
      <c r="Y129" s="2" t="s">
        <v>101</v>
      </c>
    </row>
    <row r="130" ht="22.5" customHeight="1">
      <c r="A130" s="10" t="s">
        <v>26</v>
      </c>
      <c r="G130" s="93" t="str">
        <f>IFERROR(__xludf.DUMMYFUNCTION("IFERROR(SUM(SPLIT(J127, ""-"")))"),"")</f>
        <v/>
      </c>
      <c r="H130" s="93" t="str">
        <f>IFERROR(__xludf.DUMMYFUNCTION("IFERROR(INDEX(SPLIT($J127, ""-""), 0, 1))"),"")</f>
        <v/>
      </c>
      <c r="J130" s="91"/>
      <c r="K130" s="10" t="s">
        <v>16</v>
      </c>
      <c r="Q130" s="93" t="str">
        <f>IFERROR(__xludf.DUMMYFUNCTION("IFERROR(SUM(SPLIT(J127, ""-"")))"),"")</f>
        <v/>
      </c>
      <c r="R130" s="93" t="str">
        <f>IFERROR(__xludf.DUMMYFUNCTION("IFERROR(INDEX(SPLIT($J127, ""-""), 0, 2))"),"")</f>
        <v/>
      </c>
      <c r="S130" s="109"/>
      <c r="T130" s="104"/>
      <c r="U130" s="94"/>
      <c r="V130" s="94"/>
      <c r="W130" s="94"/>
      <c r="X130" s="94"/>
      <c r="Y130" s="94"/>
    </row>
    <row r="131" ht="22.5" customHeight="1">
      <c r="A131" s="10" t="s">
        <v>24</v>
      </c>
      <c r="G131" s="95" t="str">
        <f>IFERROR(__xludf.DUMMYFUNCTION("IFERROR(SUM(SPLIT(J127, ""-"")))"),"")</f>
        <v/>
      </c>
      <c r="H131" s="95" t="str">
        <f>IFERROR(__xludf.DUMMYFUNCTION("IFERROR(INDEX(SPLIT($J127, ""-""), 0, 1))"),"")</f>
        <v/>
      </c>
      <c r="J131" s="91"/>
      <c r="K131" s="10" t="s">
        <v>28</v>
      </c>
      <c r="Q131" s="96" t="str">
        <f>IFERROR(__xludf.DUMMYFUNCTION("IFERROR(SUM(SPLIT(J127, ""-"")))"),"")</f>
        <v/>
      </c>
      <c r="R131" s="96" t="str">
        <f>IFERROR(__xludf.DUMMYFUNCTION("IFERROR(INDEX(SPLIT($J127, ""-""), 0, 2))"),"")</f>
        <v/>
      </c>
      <c r="S131" s="110"/>
      <c r="T131" s="104"/>
      <c r="U131" s="104"/>
      <c r="V131" s="104"/>
      <c r="W131" s="104"/>
      <c r="X131" s="104"/>
      <c r="Y131" s="104"/>
    </row>
    <row r="133">
      <c r="A133" s="80"/>
      <c r="B133" s="81"/>
      <c r="C133" s="81"/>
      <c r="D133" s="81"/>
      <c r="E133" s="81"/>
      <c r="F133" s="81"/>
      <c r="G133" s="81"/>
      <c r="H133" s="81"/>
      <c r="I133" s="81"/>
      <c r="J133" s="80" t="s">
        <v>108</v>
      </c>
      <c r="K133" s="81"/>
      <c r="L133" s="81"/>
      <c r="M133" s="81"/>
      <c r="N133" s="80" t="s">
        <v>85</v>
      </c>
      <c r="O133" s="81"/>
      <c r="P133" s="80" t="s">
        <v>31</v>
      </c>
      <c r="Q133" s="81"/>
      <c r="R133" s="81"/>
      <c r="S133" s="81"/>
      <c r="T133" s="80" t="s">
        <v>108</v>
      </c>
      <c r="U133" s="81"/>
      <c r="V133" s="81"/>
      <c r="W133" s="81"/>
      <c r="X133" s="81"/>
      <c r="Y133" s="81"/>
    </row>
    <row r="134">
      <c r="A134" s="84">
        <v>19.0</v>
      </c>
      <c r="J134" s="86" t="s">
        <v>87</v>
      </c>
    </row>
    <row r="135">
      <c r="J135" s="111"/>
      <c r="V135" s="88" t="s">
        <v>88</v>
      </c>
    </row>
    <row r="136" ht="22.5" customHeight="1">
      <c r="A136" s="2" t="s">
        <v>89</v>
      </c>
      <c r="B136" s="2" t="s">
        <v>90</v>
      </c>
      <c r="C136" s="2" t="s">
        <v>91</v>
      </c>
      <c r="D136" s="2" t="s">
        <v>92</v>
      </c>
      <c r="E136" s="2" t="s">
        <v>5</v>
      </c>
      <c r="F136" s="90" t="s">
        <v>93</v>
      </c>
      <c r="G136" s="2" t="s">
        <v>94</v>
      </c>
      <c r="H136" s="90" t="s">
        <v>46</v>
      </c>
      <c r="I136" s="2" t="s">
        <v>95</v>
      </c>
      <c r="J136" s="91"/>
      <c r="K136" s="2" t="s">
        <v>96</v>
      </c>
      <c r="L136" s="2" t="s">
        <v>90</v>
      </c>
      <c r="M136" s="2" t="s">
        <v>91</v>
      </c>
      <c r="N136" s="2" t="s">
        <v>92</v>
      </c>
      <c r="O136" s="2" t="s">
        <v>5</v>
      </c>
      <c r="P136" s="90" t="s">
        <v>93</v>
      </c>
      <c r="Q136" s="2" t="s">
        <v>94</v>
      </c>
      <c r="R136" s="90" t="s">
        <v>46</v>
      </c>
      <c r="S136" s="2" t="s">
        <v>95</v>
      </c>
      <c r="U136" s="2" t="s">
        <v>97</v>
      </c>
      <c r="V136" s="2" t="s">
        <v>98</v>
      </c>
      <c r="W136" s="2" t="s">
        <v>99</v>
      </c>
      <c r="X136" s="2" t="s">
        <v>100</v>
      </c>
      <c r="Y136" s="2" t="s">
        <v>101</v>
      </c>
    </row>
    <row r="137" ht="22.5" customHeight="1">
      <c r="A137" s="10" t="s">
        <v>26</v>
      </c>
      <c r="G137" s="93" t="str">
        <f>IFERROR(__xludf.DUMMYFUNCTION("IFERROR(SUM(SPLIT(J135, ""-"")))"),"")</f>
        <v/>
      </c>
      <c r="H137" s="93" t="str">
        <f>IFERROR(__xludf.DUMMYFUNCTION("IFERROR(INDEX(SPLIT($J135, ""-""), 0, 1))"),"")</f>
        <v/>
      </c>
      <c r="J137" s="91"/>
      <c r="K137" s="10" t="s">
        <v>14</v>
      </c>
      <c r="Q137" s="93" t="str">
        <f>IFERROR(__xludf.DUMMYFUNCTION("IFERROR(SUM(SPLIT(J135, ""-"")))"),"")</f>
        <v/>
      </c>
      <c r="R137" s="93" t="str">
        <f>IFERROR(__xludf.DUMMYFUNCTION("IFERROR(INDEX(SPLIT($J135, ""-""), 0, 2))"),"")</f>
        <v/>
      </c>
      <c r="U137" s="94"/>
      <c r="V137" s="94"/>
      <c r="W137" s="94"/>
      <c r="X137" s="94"/>
      <c r="Y137" s="94"/>
    </row>
    <row r="138" ht="22.5" customHeight="1">
      <c r="A138" s="10" t="s">
        <v>10</v>
      </c>
      <c r="G138" s="95" t="str">
        <f>IFERROR(__xludf.DUMMYFUNCTION("IFERROR(SUM(SPLIT(J135, ""-"")))"),"")</f>
        <v/>
      </c>
      <c r="H138" s="95" t="str">
        <f>IFERROR(__xludf.DUMMYFUNCTION("IFERROR(INDEX(SPLIT($J135, ""-""), 0, 1))"),"")</f>
        <v/>
      </c>
      <c r="J138" s="91"/>
      <c r="K138" s="10" t="s">
        <v>22</v>
      </c>
      <c r="Q138" s="96" t="str">
        <f>IFERROR(__xludf.DUMMYFUNCTION("IFERROR(SUM(SPLIT(J135, ""-"")))"),"")</f>
        <v/>
      </c>
      <c r="R138" s="96" t="str">
        <f>IFERROR(__xludf.DUMMYFUNCTION("IFERROR(INDEX(SPLIT($J135, ""-""), 0, 2))"),"")</f>
        <v/>
      </c>
    </row>
    <row r="139">
      <c r="A139" s="97"/>
      <c r="B139" s="97"/>
      <c r="C139" s="97"/>
      <c r="D139" s="97"/>
      <c r="E139" s="97"/>
      <c r="F139" s="97"/>
      <c r="G139" s="97"/>
      <c r="H139" s="97"/>
      <c r="I139" s="97"/>
      <c r="J139" s="98"/>
      <c r="K139" s="97"/>
      <c r="L139" s="97"/>
      <c r="M139" s="97"/>
      <c r="N139" s="97"/>
      <c r="O139" s="97"/>
      <c r="P139" s="97"/>
      <c r="Q139" s="97"/>
      <c r="R139" s="97"/>
      <c r="S139" s="97"/>
      <c r="T139" s="97"/>
      <c r="U139" s="97"/>
      <c r="V139" s="97"/>
      <c r="W139" s="97"/>
      <c r="X139" s="97"/>
      <c r="Y139" s="97"/>
    </row>
    <row r="140">
      <c r="A140" s="84">
        <v>20.0</v>
      </c>
      <c r="E140" s="85" t="s">
        <v>86</v>
      </c>
      <c r="J140" s="86" t="s">
        <v>87</v>
      </c>
    </row>
    <row r="141">
      <c r="J141" s="87"/>
    </row>
    <row r="142">
      <c r="F142" s="99"/>
      <c r="H142" s="99"/>
      <c r="J142" s="91"/>
      <c r="P142" s="99"/>
      <c r="R142" s="99"/>
      <c r="V142" s="88" t="s">
        <v>88</v>
      </c>
    </row>
    <row r="143" ht="22.5" customHeight="1">
      <c r="A143" s="2" t="s">
        <v>89</v>
      </c>
      <c r="B143" s="2" t="s">
        <v>90</v>
      </c>
      <c r="C143" s="2" t="s">
        <v>91</v>
      </c>
      <c r="D143" s="2" t="s">
        <v>92</v>
      </c>
      <c r="E143" s="2" t="s">
        <v>5</v>
      </c>
      <c r="F143" s="90" t="s">
        <v>93</v>
      </c>
      <c r="G143" s="2" t="s">
        <v>94</v>
      </c>
      <c r="H143" s="90" t="s">
        <v>46</v>
      </c>
      <c r="I143" s="4" t="s">
        <v>102</v>
      </c>
      <c r="J143" s="91"/>
      <c r="K143" s="2" t="s">
        <v>96</v>
      </c>
      <c r="L143" s="2" t="s">
        <v>90</v>
      </c>
      <c r="M143" s="2" t="s">
        <v>91</v>
      </c>
      <c r="N143" s="2" t="s">
        <v>92</v>
      </c>
      <c r="O143" s="2" t="s">
        <v>5</v>
      </c>
      <c r="P143" s="90" t="s">
        <v>93</v>
      </c>
      <c r="Q143" s="2" t="s">
        <v>94</v>
      </c>
      <c r="R143" s="90" t="s">
        <v>46</v>
      </c>
      <c r="S143" s="4" t="s">
        <v>102</v>
      </c>
      <c r="U143" s="2" t="s">
        <v>97</v>
      </c>
      <c r="V143" s="2" t="s">
        <v>98</v>
      </c>
      <c r="W143" s="2" t="s">
        <v>99</v>
      </c>
      <c r="X143" s="2" t="s">
        <v>100</v>
      </c>
      <c r="Y143" s="2" t="s">
        <v>101</v>
      </c>
    </row>
    <row r="144" ht="22.5" customHeight="1">
      <c r="A144" s="10" t="s">
        <v>11</v>
      </c>
      <c r="G144" s="93" t="str">
        <f>IFERROR(__xludf.DUMMYFUNCTION("IFERROR(SUM(SPLIT(J141, ""-"")))"),"")</f>
        <v/>
      </c>
      <c r="H144" s="93" t="str">
        <f>IFERROR(__xludf.DUMMYFUNCTION("IFERROR(INDEX(SPLIT($J141, ""-""), 0, 1))"),"")</f>
        <v/>
      </c>
      <c r="J144" s="91"/>
      <c r="K144" s="10" t="s">
        <v>30</v>
      </c>
      <c r="Q144" s="93" t="str">
        <f>IFERROR(__xludf.DUMMYFUNCTION("IFERROR(SUM(SPLIT(J141, ""-"")))"),"")</f>
        <v/>
      </c>
      <c r="R144" s="93" t="str">
        <f>IFERROR(__xludf.DUMMYFUNCTION("IFERROR(INDEX(SPLIT($J141, ""-""), 0, 2))"),"")</f>
        <v/>
      </c>
      <c r="U144" s="94"/>
      <c r="V144" s="94"/>
      <c r="W144" s="94"/>
      <c r="X144" s="94"/>
      <c r="Y144" s="94"/>
    </row>
    <row r="145" ht="22.5" customHeight="1">
      <c r="A145" s="10" t="s">
        <v>18</v>
      </c>
      <c r="G145" s="95" t="str">
        <f>IFERROR(__xludf.DUMMYFUNCTION("IFERROR(SUM(SPLIT(J141, ""-"")))"),"")</f>
        <v/>
      </c>
      <c r="H145" s="95" t="str">
        <f>IFERROR(__xludf.DUMMYFUNCTION("IFERROR(INDEX(SPLIT($J141, ""-""), 0, 1))"),"")</f>
        <v/>
      </c>
      <c r="J145" s="91"/>
      <c r="K145" s="10" t="s">
        <v>28</v>
      </c>
      <c r="Q145" s="96" t="str">
        <f>IFERROR(__xludf.DUMMYFUNCTION("IFERROR(SUM(SPLIT(J141, ""-"")))"),"")</f>
        <v/>
      </c>
      <c r="R145" s="96" t="str">
        <f>IFERROR(__xludf.DUMMYFUNCTION("IFERROR(INDEX(SPLIT($J141, ""-""), 0, 2))"),"")</f>
        <v/>
      </c>
    </row>
    <row r="146">
      <c r="J146" s="91"/>
    </row>
    <row r="147">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AA147" s="107"/>
    </row>
    <row r="148">
      <c r="A148" s="103">
        <v>21.0</v>
      </c>
      <c r="B148" s="104"/>
      <c r="C148" s="104"/>
      <c r="D148" s="104"/>
      <c r="E148" s="104"/>
      <c r="F148" s="104"/>
      <c r="G148" s="104"/>
      <c r="H148" s="104"/>
      <c r="I148" s="104"/>
      <c r="J148" s="105" t="s">
        <v>87</v>
      </c>
      <c r="K148" s="104"/>
      <c r="L148" s="104"/>
      <c r="M148" s="104"/>
      <c r="N148" s="104"/>
      <c r="O148" s="104"/>
      <c r="P148" s="104"/>
      <c r="Q148" s="104"/>
      <c r="R148" s="104"/>
      <c r="S148" s="104"/>
      <c r="T148" s="104"/>
      <c r="U148" s="104"/>
      <c r="V148" s="104"/>
      <c r="W148" s="104"/>
      <c r="X148" s="104"/>
      <c r="Y148" s="104"/>
    </row>
    <row r="149">
      <c r="A149" s="104"/>
      <c r="B149" s="104"/>
      <c r="C149" s="104"/>
      <c r="D149" s="104"/>
      <c r="E149" s="104"/>
      <c r="F149" s="104"/>
      <c r="G149" s="104"/>
      <c r="H149" s="104"/>
      <c r="I149" s="104"/>
      <c r="J149" s="112"/>
      <c r="K149" s="104"/>
      <c r="L149" s="104"/>
      <c r="M149" s="104"/>
      <c r="N149" s="104"/>
      <c r="O149" s="104"/>
      <c r="P149" s="104"/>
      <c r="Q149" s="104"/>
      <c r="R149" s="104"/>
      <c r="S149" s="104"/>
      <c r="T149" s="104"/>
      <c r="U149" s="104"/>
      <c r="V149" s="104"/>
      <c r="W149" s="104"/>
      <c r="X149" s="104"/>
      <c r="Y149" s="104"/>
    </row>
    <row r="150">
      <c r="A150" s="104"/>
      <c r="B150" s="104"/>
      <c r="C150" s="104"/>
      <c r="D150" s="104"/>
      <c r="E150" s="104"/>
      <c r="F150" s="106"/>
      <c r="G150" s="104"/>
      <c r="H150" s="106"/>
      <c r="I150" s="104"/>
      <c r="J150" s="104"/>
      <c r="K150" s="104"/>
      <c r="L150" s="104"/>
      <c r="M150" s="104"/>
      <c r="N150" s="104"/>
      <c r="O150" s="104"/>
      <c r="P150" s="106"/>
      <c r="Q150" s="104"/>
      <c r="R150" s="106"/>
      <c r="S150" s="104"/>
      <c r="T150" s="104"/>
      <c r="U150" s="104"/>
      <c r="V150" s="88" t="s">
        <v>88</v>
      </c>
      <c r="W150" s="104"/>
      <c r="X150" s="104"/>
      <c r="Y150" s="104"/>
    </row>
    <row r="151" ht="22.5" customHeight="1">
      <c r="A151" s="2" t="s">
        <v>89</v>
      </c>
      <c r="B151" s="2" t="s">
        <v>90</v>
      </c>
      <c r="C151" s="2" t="s">
        <v>91</v>
      </c>
      <c r="D151" s="2" t="s">
        <v>92</v>
      </c>
      <c r="E151" s="2" t="s">
        <v>5</v>
      </c>
      <c r="F151" s="90" t="s">
        <v>93</v>
      </c>
      <c r="G151" s="2" t="s">
        <v>94</v>
      </c>
      <c r="H151" s="90" t="s">
        <v>46</v>
      </c>
      <c r="I151" s="108" t="s">
        <v>102</v>
      </c>
      <c r="J151" s="104"/>
      <c r="K151" s="2" t="s">
        <v>96</v>
      </c>
      <c r="L151" s="2" t="s">
        <v>90</v>
      </c>
      <c r="M151" s="2" t="s">
        <v>91</v>
      </c>
      <c r="N151" s="2" t="s">
        <v>92</v>
      </c>
      <c r="O151" s="2" t="s">
        <v>5</v>
      </c>
      <c r="P151" s="90" t="s">
        <v>93</v>
      </c>
      <c r="Q151" s="2" t="s">
        <v>94</v>
      </c>
      <c r="R151" s="90" t="s">
        <v>46</v>
      </c>
      <c r="S151" s="108" t="s">
        <v>102</v>
      </c>
      <c r="T151" s="104"/>
      <c r="U151" s="2" t="s">
        <v>97</v>
      </c>
      <c r="V151" s="2" t="s">
        <v>98</v>
      </c>
      <c r="W151" s="2" t="s">
        <v>99</v>
      </c>
      <c r="X151" s="2" t="s">
        <v>100</v>
      </c>
      <c r="Y151" s="2" t="s">
        <v>101</v>
      </c>
      <c r="AA151" s="107"/>
    </row>
    <row r="152" ht="22.5" customHeight="1">
      <c r="A152" s="10" t="s">
        <v>12</v>
      </c>
      <c r="G152" s="93" t="str">
        <f>IFERROR(__xludf.DUMMYFUNCTION("IFERROR(SUM(SPLIT(J149, ""-"")))"),"")</f>
        <v/>
      </c>
      <c r="H152" s="93" t="str">
        <f>IFERROR(__xludf.DUMMYFUNCTION("IFERROR(INDEX(SPLIT($J149, ""-""), 0, 1))"),"")</f>
        <v/>
      </c>
      <c r="J152" s="91"/>
      <c r="K152" s="10" t="s">
        <v>16</v>
      </c>
      <c r="Q152" s="93" t="str">
        <f>IFERROR(__xludf.DUMMYFUNCTION("IFERROR(SUM(SPLIT(J149, ""-"")))"),"")</f>
        <v/>
      </c>
      <c r="R152" s="93" t="str">
        <f>IFERROR(__xludf.DUMMYFUNCTION("IFERROR(INDEX(SPLIT($J149, ""-""), 0, 2))"),"")</f>
        <v/>
      </c>
      <c r="S152" s="109"/>
      <c r="T152" s="104"/>
      <c r="U152" s="94"/>
      <c r="V152" s="94"/>
      <c r="W152" s="94"/>
      <c r="X152" s="94"/>
      <c r="Y152" s="94"/>
    </row>
    <row r="153" ht="22.5" customHeight="1">
      <c r="A153" s="10" t="s">
        <v>20</v>
      </c>
      <c r="G153" s="95" t="str">
        <f>IFERROR(__xludf.DUMMYFUNCTION("IFERROR(SUM(SPLIT(J149, ""-"")))"),"")</f>
        <v/>
      </c>
      <c r="H153" s="95" t="str">
        <f>IFERROR(__xludf.DUMMYFUNCTION("IFERROR(INDEX(SPLIT($J149, ""-""), 0, 1))"),"")</f>
        <v/>
      </c>
      <c r="J153" s="91"/>
      <c r="K153" s="10" t="s">
        <v>24</v>
      </c>
      <c r="Q153" s="96" t="str">
        <f>IFERROR(__xludf.DUMMYFUNCTION("IFERROR(SUM(SPLIT(J149, ""-"")))"),"")</f>
        <v/>
      </c>
      <c r="R153" s="96" t="str">
        <f>IFERROR(__xludf.DUMMYFUNCTION("IFERROR(INDEX(SPLIT($J149, ""-""), 0, 2))"),"")</f>
        <v/>
      </c>
      <c r="S153" s="110"/>
      <c r="T153" s="104"/>
      <c r="U153" s="104"/>
      <c r="V153" s="104"/>
      <c r="W153" s="104"/>
      <c r="X153" s="104"/>
      <c r="Y153" s="104"/>
    </row>
    <row r="154">
      <c r="J154" s="91"/>
    </row>
    <row r="155">
      <c r="A155" s="80"/>
      <c r="B155" s="81"/>
      <c r="C155" s="81"/>
      <c r="D155" s="81"/>
      <c r="E155" s="81"/>
      <c r="F155" s="81"/>
      <c r="G155" s="81"/>
      <c r="H155" s="81"/>
      <c r="I155" s="81"/>
      <c r="J155" s="80" t="s">
        <v>109</v>
      </c>
      <c r="K155" s="81"/>
      <c r="L155" s="81"/>
      <c r="M155" s="81"/>
      <c r="N155" s="80" t="s">
        <v>85</v>
      </c>
      <c r="O155" s="81"/>
      <c r="P155" s="80" t="s">
        <v>20</v>
      </c>
      <c r="Q155" s="81"/>
      <c r="R155" s="81"/>
      <c r="S155" s="81"/>
      <c r="T155" s="80" t="s">
        <v>109</v>
      </c>
      <c r="U155" s="81"/>
      <c r="V155" s="81"/>
      <c r="W155" s="81"/>
      <c r="X155" s="81"/>
      <c r="Y155" s="81"/>
      <c r="AA155" s="107"/>
    </row>
    <row r="156">
      <c r="A156" s="84">
        <v>22.0</v>
      </c>
      <c r="E156" s="85" t="s">
        <v>86</v>
      </c>
      <c r="J156" s="86" t="s">
        <v>87</v>
      </c>
    </row>
    <row r="157">
      <c r="J157" s="111"/>
      <c r="V157" s="88" t="s">
        <v>88</v>
      </c>
    </row>
    <row r="158" ht="22.5" customHeight="1">
      <c r="A158" s="2" t="s">
        <v>89</v>
      </c>
      <c r="B158" s="2" t="s">
        <v>90</v>
      </c>
      <c r="C158" s="2" t="s">
        <v>91</v>
      </c>
      <c r="D158" s="2" t="s">
        <v>92</v>
      </c>
      <c r="E158" s="2" t="s">
        <v>5</v>
      </c>
      <c r="F158" s="90" t="s">
        <v>93</v>
      </c>
      <c r="G158" s="2" t="s">
        <v>94</v>
      </c>
      <c r="H158" s="90" t="s">
        <v>46</v>
      </c>
      <c r="I158" s="2" t="s">
        <v>95</v>
      </c>
      <c r="J158" s="91"/>
      <c r="K158" s="2" t="s">
        <v>96</v>
      </c>
      <c r="L158" s="2" t="s">
        <v>90</v>
      </c>
      <c r="M158" s="2" t="s">
        <v>91</v>
      </c>
      <c r="N158" s="2" t="s">
        <v>92</v>
      </c>
      <c r="O158" s="2" t="s">
        <v>5</v>
      </c>
      <c r="P158" s="90" t="s">
        <v>93</v>
      </c>
      <c r="Q158" s="2" t="s">
        <v>94</v>
      </c>
      <c r="R158" s="90" t="s">
        <v>46</v>
      </c>
      <c r="S158" s="2" t="s">
        <v>95</v>
      </c>
      <c r="U158" s="2" t="s">
        <v>97</v>
      </c>
      <c r="V158" s="2" t="s">
        <v>98</v>
      </c>
      <c r="W158" s="2" t="s">
        <v>99</v>
      </c>
      <c r="X158" s="2" t="s">
        <v>100</v>
      </c>
      <c r="Y158" s="2" t="s">
        <v>101</v>
      </c>
    </row>
    <row r="159" ht="22.5" customHeight="1">
      <c r="A159" s="10" t="s">
        <v>12</v>
      </c>
      <c r="G159" s="93" t="str">
        <f>IFERROR(__xludf.DUMMYFUNCTION("IFERROR(SUM(SPLIT(J157, ""-"")))"),"")</f>
        <v/>
      </c>
      <c r="H159" s="93" t="str">
        <f>IFERROR(__xludf.DUMMYFUNCTION("IFERROR(INDEX(SPLIT($J157, ""-""), 0, 1))"),"")</f>
        <v/>
      </c>
      <c r="J159" s="91"/>
      <c r="K159" s="10" t="s">
        <v>26</v>
      </c>
      <c r="Q159" s="93" t="str">
        <f>IFERROR(__xludf.DUMMYFUNCTION("IFERROR(SUM(SPLIT(J157, ""-"")))"),"")</f>
        <v/>
      </c>
      <c r="R159" s="93" t="str">
        <f>IFERROR(__xludf.DUMMYFUNCTION("IFERROR(INDEX(SPLIT($J157, ""-""), 0, 2))"),"")</f>
        <v/>
      </c>
      <c r="U159" s="94"/>
      <c r="V159" s="94"/>
      <c r="W159" s="94"/>
      <c r="X159" s="94"/>
      <c r="Y159" s="94"/>
    </row>
    <row r="160" ht="22.5" customHeight="1">
      <c r="A160" s="10" t="s">
        <v>28</v>
      </c>
      <c r="G160" s="95" t="str">
        <f>IFERROR(__xludf.DUMMYFUNCTION("IFERROR(SUM(SPLIT(J157, ""-"")))"),"")</f>
        <v/>
      </c>
      <c r="H160" s="95" t="str">
        <f>IFERROR(__xludf.DUMMYFUNCTION("IFERROR(INDEX(SPLIT($J157, ""-""), 0, 1))"),"")</f>
        <v/>
      </c>
      <c r="J160" s="91"/>
      <c r="K160" s="10" t="s">
        <v>16</v>
      </c>
      <c r="Q160" s="96" t="str">
        <f>IFERROR(__xludf.DUMMYFUNCTION("IFERROR(SUM(SPLIT(J157, ""-"")))"),"")</f>
        <v/>
      </c>
      <c r="R160" s="96" t="str">
        <f>IFERROR(__xludf.DUMMYFUNCTION("IFERROR(INDEX(SPLIT($J157, ""-""), 0, 2))"),"")</f>
        <v/>
      </c>
    </row>
    <row r="161">
      <c r="A161" s="97"/>
      <c r="B161" s="97"/>
      <c r="C161" s="97"/>
      <c r="D161" s="97"/>
      <c r="E161" s="97"/>
      <c r="F161" s="97"/>
      <c r="G161" s="97"/>
      <c r="H161" s="97"/>
      <c r="I161" s="97"/>
      <c r="J161" s="98"/>
      <c r="K161" s="97"/>
      <c r="L161" s="97"/>
      <c r="M161" s="97"/>
      <c r="N161" s="97"/>
      <c r="O161" s="97"/>
      <c r="P161" s="97"/>
      <c r="Q161" s="97"/>
      <c r="R161" s="97"/>
      <c r="S161" s="97"/>
      <c r="T161" s="97"/>
      <c r="U161" s="97"/>
      <c r="V161" s="97"/>
      <c r="W161" s="97"/>
      <c r="X161" s="97"/>
      <c r="Y161" s="97"/>
    </row>
    <row r="162">
      <c r="A162" s="84">
        <v>23.0</v>
      </c>
      <c r="J162" s="86" t="s">
        <v>87</v>
      </c>
    </row>
    <row r="163">
      <c r="J163" s="87"/>
    </row>
    <row r="164">
      <c r="F164" s="99"/>
      <c r="H164" s="99"/>
      <c r="J164" s="91"/>
      <c r="P164" s="99"/>
      <c r="R164" s="99"/>
      <c r="V164" s="88" t="s">
        <v>88</v>
      </c>
    </row>
    <row r="165" ht="22.5" customHeight="1">
      <c r="A165" s="2" t="s">
        <v>89</v>
      </c>
      <c r="B165" s="2" t="s">
        <v>90</v>
      </c>
      <c r="C165" s="2" t="s">
        <v>91</v>
      </c>
      <c r="D165" s="2" t="s">
        <v>92</v>
      </c>
      <c r="E165" s="2" t="s">
        <v>5</v>
      </c>
      <c r="F165" s="90" t="s">
        <v>93</v>
      </c>
      <c r="G165" s="2" t="s">
        <v>94</v>
      </c>
      <c r="H165" s="90" t="s">
        <v>46</v>
      </c>
      <c r="I165" s="4" t="s">
        <v>102</v>
      </c>
      <c r="J165" s="91"/>
      <c r="K165" s="2" t="s">
        <v>96</v>
      </c>
      <c r="L165" s="2" t="s">
        <v>90</v>
      </c>
      <c r="M165" s="2" t="s">
        <v>91</v>
      </c>
      <c r="N165" s="2" t="s">
        <v>92</v>
      </c>
      <c r="O165" s="2" t="s">
        <v>5</v>
      </c>
      <c r="P165" s="90" t="s">
        <v>93</v>
      </c>
      <c r="Q165" s="2" t="s">
        <v>94</v>
      </c>
      <c r="R165" s="90" t="s">
        <v>46</v>
      </c>
      <c r="S165" s="4" t="s">
        <v>102</v>
      </c>
      <c r="U165" s="2" t="s">
        <v>97</v>
      </c>
      <c r="V165" s="2" t="s">
        <v>98</v>
      </c>
      <c r="W165" s="2" t="s">
        <v>99</v>
      </c>
      <c r="X165" s="2" t="s">
        <v>100</v>
      </c>
      <c r="Y165" s="2" t="s">
        <v>101</v>
      </c>
    </row>
    <row r="166" ht="22.5" customHeight="1">
      <c r="A166" s="10" t="s">
        <v>14</v>
      </c>
      <c r="G166" s="93" t="str">
        <f>IFERROR(__xludf.DUMMYFUNCTION("IFERROR(SUM(SPLIT(J163, ""-"")))"),"")</f>
        <v/>
      </c>
      <c r="H166" s="93" t="str">
        <f>IFERROR(__xludf.DUMMYFUNCTION("IFERROR(INDEX(SPLIT($J163, ""-""), 0, 1))"),"")</f>
        <v/>
      </c>
      <c r="J166" s="91"/>
      <c r="K166" s="10" t="s">
        <v>11</v>
      </c>
      <c r="Q166" s="93" t="str">
        <f>IFERROR(__xludf.DUMMYFUNCTION("IFERROR(SUM(SPLIT(J163, ""-"")))"),"")</f>
        <v/>
      </c>
      <c r="R166" s="93" t="str">
        <f>IFERROR(__xludf.DUMMYFUNCTION("IFERROR(INDEX(SPLIT($J163, ""-""), 0, 2))"),"")</f>
        <v/>
      </c>
      <c r="U166" s="94"/>
      <c r="V166" s="94"/>
      <c r="W166" s="94"/>
      <c r="X166" s="94"/>
      <c r="Y166" s="94"/>
    </row>
    <row r="167" ht="22.5" customHeight="1">
      <c r="A167" s="10" t="s">
        <v>18</v>
      </c>
      <c r="G167" s="95" t="str">
        <f>IFERROR(__xludf.DUMMYFUNCTION("IFERROR(SUM(SPLIT(J163, ""-"")))"),"")</f>
        <v/>
      </c>
      <c r="H167" s="95" t="str">
        <f>IFERROR(__xludf.DUMMYFUNCTION("IFERROR(INDEX(SPLIT($J163, ""-""), 0, 1))"),"")</f>
        <v/>
      </c>
      <c r="J167" s="91"/>
      <c r="K167" s="10" t="s">
        <v>10</v>
      </c>
      <c r="Q167" s="96" t="str">
        <f>IFERROR(__xludf.DUMMYFUNCTION("IFERROR(SUM(SPLIT(J163, ""-"")))"),"")</f>
        <v/>
      </c>
      <c r="R167" s="96" t="str">
        <f>IFERROR(__xludf.DUMMYFUNCTION("IFERROR(INDEX(SPLIT($J163, ""-""), 0, 2))"),"")</f>
        <v/>
      </c>
    </row>
    <row r="168">
      <c r="J168" s="91"/>
    </row>
    <row r="169">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row>
    <row r="170">
      <c r="A170" s="103">
        <v>24.0</v>
      </c>
      <c r="B170" s="104"/>
      <c r="C170" s="104"/>
      <c r="D170" s="104"/>
      <c r="E170" s="104"/>
      <c r="F170" s="104"/>
      <c r="G170" s="104"/>
      <c r="H170" s="104"/>
      <c r="I170" s="104"/>
      <c r="J170" s="105" t="s">
        <v>87</v>
      </c>
      <c r="K170" s="104"/>
      <c r="L170" s="104"/>
      <c r="M170" s="104"/>
      <c r="N170" s="104"/>
      <c r="O170" s="104"/>
      <c r="P170" s="104"/>
      <c r="Q170" s="104"/>
      <c r="R170" s="104"/>
      <c r="S170" s="104"/>
      <c r="T170" s="104"/>
      <c r="U170" s="104"/>
      <c r="V170" s="104"/>
      <c r="W170" s="104"/>
      <c r="X170" s="104"/>
      <c r="Y170" s="104"/>
    </row>
    <row r="171">
      <c r="A171" s="104"/>
      <c r="B171" s="104"/>
      <c r="C171" s="104"/>
      <c r="D171" s="104"/>
      <c r="E171" s="104"/>
      <c r="F171" s="104"/>
      <c r="G171" s="104"/>
      <c r="H171" s="104"/>
      <c r="I171" s="104"/>
      <c r="J171" s="112"/>
      <c r="K171" s="104"/>
      <c r="L171" s="104"/>
      <c r="M171" s="104"/>
      <c r="N171" s="104"/>
      <c r="O171" s="104"/>
      <c r="P171" s="104"/>
      <c r="Q171" s="104"/>
      <c r="R171" s="104"/>
      <c r="S171" s="104"/>
      <c r="T171" s="104"/>
      <c r="U171" s="104"/>
      <c r="V171" s="104"/>
      <c r="W171" s="104"/>
      <c r="X171" s="104"/>
      <c r="Y171" s="104"/>
    </row>
    <row r="172">
      <c r="A172" s="104"/>
      <c r="B172" s="104"/>
      <c r="C172" s="104"/>
      <c r="D172" s="104"/>
      <c r="E172" s="104"/>
      <c r="F172" s="106"/>
      <c r="G172" s="104"/>
      <c r="H172" s="106"/>
      <c r="I172" s="104"/>
      <c r="J172" s="104"/>
      <c r="K172" s="104"/>
      <c r="L172" s="104"/>
      <c r="M172" s="104"/>
      <c r="N172" s="104"/>
      <c r="O172" s="104"/>
      <c r="P172" s="106"/>
      <c r="Q172" s="104"/>
      <c r="R172" s="106"/>
      <c r="S172" s="104"/>
      <c r="T172" s="104"/>
      <c r="U172" s="104"/>
      <c r="V172" s="88" t="s">
        <v>88</v>
      </c>
      <c r="W172" s="104"/>
      <c r="X172" s="104"/>
      <c r="Y172" s="104"/>
    </row>
    <row r="173" ht="22.5" customHeight="1">
      <c r="A173" s="2" t="s">
        <v>89</v>
      </c>
      <c r="B173" s="2" t="s">
        <v>90</v>
      </c>
      <c r="C173" s="2" t="s">
        <v>91</v>
      </c>
      <c r="D173" s="2" t="s">
        <v>92</v>
      </c>
      <c r="E173" s="2" t="s">
        <v>5</v>
      </c>
      <c r="F173" s="90" t="s">
        <v>93</v>
      </c>
      <c r="G173" s="2" t="s">
        <v>94</v>
      </c>
      <c r="H173" s="90" t="s">
        <v>46</v>
      </c>
      <c r="I173" s="108" t="s">
        <v>102</v>
      </c>
      <c r="J173" s="104"/>
      <c r="K173" s="2" t="s">
        <v>96</v>
      </c>
      <c r="L173" s="2" t="s">
        <v>90</v>
      </c>
      <c r="M173" s="2" t="s">
        <v>91</v>
      </c>
      <c r="N173" s="2" t="s">
        <v>92</v>
      </c>
      <c r="O173" s="2" t="s">
        <v>5</v>
      </c>
      <c r="P173" s="90" t="s">
        <v>93</v>
      </c>
      <c r="Q173" s="2" t="s">
        <v>94</v>
      </c>
      <c r="R173" s="90" t="s">
        <v>46</v>
      </c>
      <c r="S173" s="108" t="s">
        <v>102</v>
      </c>
      <c r="T173" s="104"/>
      <c r="U173" s="2" t="s">
        <v>97</v>
      </c>
      <c r="V173" s="2" t="s">
        <v>98</v>
      </c>
      <c r="W173" s="2" t="s">
        <v>99</v>
      </c>
      <c r="X173" s="2" t="s">
        <v>100</v>
      </c>
      <c r="Y173" s="2" t="s">
        <v>101</v>
      </c>
    </row>
    <row r="174" ht="22.5" customHeight="1">
      <c r="A174" s="10" t="s">
        <v>31</v>
      </c>
      <c r="G174" s="93" t="str">
        <f>IFERROR(__xludf.DUMMYFUNCTION("IFERROR(SUM(SPLIT(J171, ""-"")))"),"")</f>
        <v/>
      </c>
      <c r="H174" s="93" t="str">
        <f>IFERROR(__xludf.DUMMYFUNCTION("IFERROR(INDEX(SPLIT($J171, ""-""), 0, 1))"),"")</f>
        <v/>
      </c>
      <c r="J174" s="91"/>
      <c r="K174" s="10" t="s">
        <v>30</v>
      </c>
      <c r="Q174" s="93" t="str">
        <f>IFERROR(__xludf.DUMMYFUNCTION("IFERROR(SUM(SPLIT(J171, ""-"")))"),"")</f>
        <v/>
      </c>
      <c r="R174" s="93" t="str">
        <f>IFERROR(__xludf.DUMMYFUNCTION("IFERROR(INDEX(SPLIT($J171, ""-""), 0, 2))"),"")</f>
        <v/>
      </c>
      <c r="S174" s="109"/>
      <c r="T174" s="104"/>
      <c r="U174" s="94"/>
      <c r="V174" s="94"/>
      <c r="W174" s="94"/>
      <c r="X174" s="94"/>
      <c r="Y174" s="94"/>
    </row>
    <row r="175" ht="22.5" customHeight="1">
      <c r="A175" s="10" t="s">
        <v>22</v>
      </c>
      <c r="G175" s="95" t="str">
        <f>IFERROR(__xludf.DUMMYFUNCTION("IFERROR(SUM(SPLIT(J171, ""-"")))"),"")</f>
        <v/>
      </c>
      <c r="H175" s="95" t="str">
        <f>IFERROR(__xludf.DUMMYFUNCTION("IFERROR(INDEX(SPLIT($J171, ""-""), 0, 1))"),"")</f>
        <v/>
      </c>
      <c r="J175" s="91"/>
      <c r="K175" s="10" t="s">
        <v>24</v>
      </c>
      <c r="Q175" s="96" t="str">
        <f>IFERROR(__xludf.DUMMYFUNCTION("IFERROR(SUM(SPLIT(J171, ""-"")))"),"")</f>
        <v/>
      </c>
      <c r="R175" s="96" t="str">
        <f>IFERROR(__xludf.DUMMYFUNCTION("IFERROR(INDEX(SPLIT($J171, ""-""), 0, 2))"),"")</f>
        <v/>
      </c>
      <c r="S175" s="110"/>
      <c r="T175" s="104"/>
      <c r="U175" s="104"/>
      <c r="V175" s="104"/>
      <c r="W175" s="104"/>
      <c r="X175" s="104"/>
      <c r="Y175" s="104"/>
    </row>
    <row r="176">
      <c r="J176" s="91"/>
    </row>
    <row r="177">
      <c r="A177" s="80"/>
      <c r="B177" s="81"/>
      <c r="C177" s="81"/>
      <c r="D177" s="81"/>
      <c r="E177" s="81"/>
      <c r="F177" s="81"/>
      <c r="G177" s="81"/>
      <c r="H177" s="81"/>
      <c r="I177" s="81"/>
      <c r="J177" s="80" t="s">
        <v>110</v>
      </c>
      <c r="K177" s="81"/>
      <c r="L177" s="81"/>
      <c r="M177" s="81"/>
      <c r="N177" s="80" t="s">
        <v>85</v>
      </c>
      <c r="O177" s="81"/>
      <c r="P177" s="80" t="s">
        <v>28</v>
      </c>
      <c r="Q177" s="81"/>
      <c r="R177" s="81"/>
      <c r="S177" s="81"/>
      <c r="T177" s="80" t="s">
        <v>110</v>
      </c>
      <c r="U177" s="81"/>
      <c r="V177" s="81"/>
      <c r="W177" s="81"/>
      <c r="X177" s="81"/>
      <c r="Y177" s="81"/>
    </row>
    <row r="178">
      <c r="A178" s="84">
        <v>25.0</v>
      </c>
      <c r="E178" s="85" t="s">
        <v>86</v>
      </c>
      <c r="J178" s="86" t="s">
        <v>87</v>
      </c>
    </row>
    <row r="179">
      <c r="J179" s="111"/>
      <c r="V179" s="88" t="s">
        <v>88</v>
      </c>
    </row>
    <row r="180" ht="22.5" customHeight="1">
      <c r="A180" s="2" t="s">
        <v>89</v>
      </c>
      <c r="B180" s="2" t="s">
        <v>90</v>
      </c>
      <c r="C180" s="2" t="s">
        <v>91</v>
      </c>
      <c r="D180" s="2" t="s">
        <v>92</v>
      </c>
      <c r="E180" s="2" t="s">
        <v>5</v>
      </c>
      <c r="F180" s="90" t="s">
        <v>93</v>
      </c>
      <c r="G180" s="2" t="s">
        <v>94</v>
      </c>
      <c r="H180" s="90" t="s">
        <v>46</v>
      </c>
      <c r="I180" s="2" t="s">
        <v>95</v>
      </c>
      <c r="J180" s="91"/>
      <c r="K180" s="2" t="s">
        <v>96</v>
      </c>
      <c r="L180" s="2" t="s">
        <v>90</v>
      </c>
      <c r="M180" s="2" t="s">
        <v>91</v>
      </c>
      <c r="N180" s="2" t="s">
        <v>92</v>
      </c>
      <c r="O180" s="2" t="s">
        <v>5</v>
      </c>
      <c r="P180" s="90" t="s">
        <v>93</v>
      </c>
      <c r="Q180" s="2" t="s">
        <v>94</v>
      </c>
      <c r="R180" s="90" t="s">
        <v>46</v>
      </c>
      <c r="S180" s="2" t="s">
        <v>95</v>
      </c>
      <c r="U180" s="2" t="s">
        <v>97</v>
      </c>
      <c r="V180" s="2" t="s">
        <v>98</v>
      </c>
      <c r="W180" s="2" t="s">
        <v>99</v>
      </c>
      <c r="X180" s="2" t="s">
        <v>100</v>
      </c>
      <c r="Y180" s="2" t="s">
        <v>101</v>
      </c>
    </row>
    <row r="181" ht="22.5" customHeight="1">
      <c r="A181" s="10" t="s">
        <v>26</v>
      </c>
      <c r="G181" s="93" t="str">
        <f>IFERROR(__xludf.DUMMYFUNCTION("IFERROR(SUM(SPLIT(J179, ""-"")))"),"")</f>
        <v/>
      </c>
      <c r="H181" s="93" t="str">
        <f>IFERROR(__xludf.DUMMYFUNCTION("IFERROR(INDEX(SPLIT($J179, ""-""), 0, 1))"),"")</f>
        <v/>
      </c>
      <c r="J181" s="91"/>
      <c r="K181" s="10" t="s">
        <v>31</v>
      </c>
      <c r="Q181" s="93" t="str">
        <f>IFERROR(__xludf.DUMMYFUNCTION("IFERROR(SUM(SPLIT(J179, ""-"")))"),"")</f>
        <v/>
      </c>
      <c r="R181" s="93" t="str">
        <f>IFERROR(__xludf.DUMMYFUNCTION("IFERROR(INDEX(SPLIT($J179, ""-""), 0, 2))"),"")</f>
        <v/>
      </c>
      <c r="U181" s="94"/>
      <c r="V181" s="94"/>
      <c r="W181" s="94"/>
      <c r="X181" s="94"/>
      <c r="Y181" s="94"/>
    </row>
    <row r="182" ht="22.5" customHeight="1">
      <c r="A182" s="10" t="s">
        <v>11</v>
      </c>
      <c r="G182" s="95" t="str">
        <f>IFERROR(__xludf.DUMMYFUNCTION("IFERROR(SUM(SPLIT(J179, ""-"")))"),"")</f>
        <v/>
      </c>
      <c r="H182" s="95" t="str">
        <f>IFERROR(__xludf.DUMMYFUNCTION("IFERROR(INDEX(SPLIT($J179, ""-""), 0, 1))"),"")</f>
        <v/>
      </c>
      <c r="J182" s="91"/>
      <c r="K182" s="10" t="s">
        <v>18</v>
      </c>
      <c r="Q182" s="96" t="str">
        <f>IFERROR(__xludf.DUMMYFUNCTION("IFERROR(SUM(SPLIT(J179, ""-"")))"),"")</f>
        <v/>
      </c>
      <c r="R182" s="96" t="str">
        <f>IFERROR(__xludf.DUMMYFUNCTION("IFERROR(INDEX(SPLIT($J179, ""-""), 0, 2))"),"")</f>
        <v/>
      </c>
    </row>
    <row r="183">
      <c r="A183" s="97"/>
      <c r="B183" s="97"/>
      <c r="C183" s="97"/>
      <c r="D183" s="97"/>
      <c r="E183" s="97"/>
      <c r="F183" s="97"/>
      <c r="G183" s="97"/>
      <c r="H183" s="97"/>
      <c r="I183" s="97"/>
      <c r="J183" s="98"/>
      <c r="K183" s="97"/>
      <c r="L183" s="97"/>
      <c r="M183" s="97"/>
      <c r="N183" s="97"/>
      <c r="O183" s="97"/>
      <c r="P183" s="97"/>
      <c r="Q183" s="97"/>
      <c r="R183" s="97"/>
      <c r="S183" s="97"/>
      <c r="T183" s="97"/>
      <c r="U183" s="97"/>
      <c r="V183" s="97"/>
      <c r="W183" s="97"/>
      <c r="X183" s="97"/>
      <c r="Y183" s="97"/>
    </row>
    <row r="184">
      <c r="A184" s="84">
        <v>26.0</v>
      </c>
      <c r="J184" s="86" t="s">
        <v>87</v>
      </c>
    </row>
    <row r="185">
      <c r="J185" s="87"/>
    </row>
    <row r="186">
      <c r="F186" s="99"/>
      <c r="H186" s="99"/>
      <c r="J186" s="91"/>
      <c r="P186" s="99"/>
      <c r="R186" s="99"/>
      <c r="V186" s="88" t="s">
        <v>88</v>
      </c>
    </row>
    <row r="187" ht="22.5" customHeight="1">
      <c r="A187" s="2" t="s">
        <v>89</v>
      </c>
      <c r="B187" s="2" t="s">
        <v>90</v>
      </c>
      <c r="C187" s="2" t="s">
        <v>91</v>
      </c>
      <c r="D187" s="2" t="s">
        <v>92</v>
      </c>
      <c r="E187" s="2" t="s">
        <v>5</v>
      </c>
      <c r="F187" s="90" t="s">
        <v>93</v>
      </c>
      <c r="G187" s="2" t="s">
        <v>94</v>
      </c>
      <c r="H187" s="90" t="s">
        <v>46</v>
      </c>
      <c r="I187" s="4" t="s">
        <v>102</v>
      </c>
      <c r="J187" s="91"/>
      <c r="K187" s="2" t="s">
        <v>96</v>
      </c>
      <c r="L187" s="2" t="s">
        <v>90</v>
      </c>
      <c r="M187" s="2" t="s">
        <v>91</v>
      </c>
      <c r="N187" s="2" t="s">
        <v>92</v>
      </c>
      <c r="O187" s="2" t="s">
        <v>5</v>
      </c>
      <c r="P187" s="90" t="s">
        <v>93</v>
      </c>
      <c r="Q187" s="2" t="s">
        <v>94</v>
      </c>
      <c r="R187" s="90" t="s">
        <v>46</v>
      </c>
      <c r="S187" s="4" t="s">
        <v>102</v>
      </c>
      <c r="U187" s="2" t="s">
        <v>97</v>
      </c>
      <c r="V187" s="2" t="s">
        <v>98</v>
      </c>
      <c r="W187" s="2" t="s">
        <v>99</v>
      </c>
      <c r="X187" s="2" t="s">
        <v>100</v>
      </c>
      <c r="Y187" s="2" t="s">
        <v>101</v>
      </c>
    </row>
    <row r="188" ht="22.5" customHeight="1">
      <c r="A188" s="10" t="s">
        <v>14</v>
      </c>
      <c r="G188" s="93" t="str">
        <f>IFERROR(__xludf.DUMMYFUNCTION("IFERROR(SUM(SPLIT(J185, ""-"")))"),"")</f>
        <v/>
      </c>
      <c r="H188" s="93" t="str">
        <f>IFERROR(__xludf.DUMMYFUNCTION("IFERROR(INDEX(SPLIT($J185, ""-""), 0, 1))"),"")</f>
        <v/>
      </c>
      <c r="J188" s="91"/>
      <c r="K188" s="10" t="s">
        <v>30</v>
      </c>
      <c r="Q188" s="93" t="str">
        <f>IFERROR(__xludf.DUMMYFUNCTION("IFERROR(SUM(SPLIT(J185, ""-"")))"),"")</f>
        <v/>
      </c>
      <c r="R188" s="93" t="str">
        <f>IFERROR(__xludf.DUMMYFUNCTION("IFERROR(INDEX(SPLIT($J185, ""-""), 0, 2))"),"")</f>
        <v/>
      </c>
      <c r="U188" s="94"/>
      <c r="V188" s="94"/>
      <c r="W188" s="94"/>
      <c r="X188" s="94"/>
      <c r="Y188" s="94"/>
    </row>
    <row r="189" ht="22.5" customHeight="1">
      <c r="A189" s="10" t="s">
        <v>10</v>
      </c>
      <c r="G189" s="95" t="str">
        <f>IFERROR(__xludf.DUMMYFUNCTION("IFERROR(SUM(SPLIT(J185, ""-"")))"),"")</f>
        <v/>
      </c>
      <c r="H189" s="95" t="str">
        <f>IFERROR(__xludf.DUMMYFUNCTION("IFERROR(INDEX(SPLIT($J185, ""-""), 0, 1))"),"")</f>
        <v/>
      </c>
      <c r="J189" s="91"/>
      <c r="K189" s="10" t="s">
        <v>16</v>
      </c>
      <c r="Q189" s="96" t="str">
        <f>IFERROR(__xludf.DUMMYFUNCTION("IFERROR(SUM(SPLIT(J185, ""-"")))"),"")</f>
        <v/>
      </c>
      <c r="R189" s="96" t="str">
        <f>IFERROR(__xludf.DUMMYFUNCTION("IFERROR(INDEX(SPLIT($J185, ""-""), 0, 2))"),"")</f>
        <v/>
      </c>
    </row>
    <row r="190">
      <c r="J190" s="91"/>
    </row>
    <row r="19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row>
    <row r="192">
      <c r="A192" s="103">
        <v>27.0</v>
      </c>
      <c r="B192" s="104"/>
      <c r="C192" s="104"/>
      <c r="D192" s="104"/>
      <c r="E192" s="104"/>
      <c r="F192" s="104"/>
      <c r="G192" s="104"/>
      <c r="H192" s="104"/>
      <c r="I192" s="104"/>
      <c r="J192" s="105" t="s">
        <v>87</v>
      </c>
      <c r="K192" s="104"/>
      <c r="L192" s="104"/>
      <c r="M192" s="104"/>
      <c r="N192" s="104"/>
      <c r="O192" s="104"/>
      <c r="P192" s="104"/>
      <c r="Q192" s="104"/>
      <c r="R192" s="104"/>
      <c r="S192" s="104"/>
      <c r="T192" s="104"/>
      <c r="U192" s="104"/>
      <c r="V192" s="104"/>
      <c r="W192" s="104"/>
      <c r="X192" s="104"/>
      <c r="Y192" s="104"/>
    </row>
    <row r="193">
      <c r="A193" s="104"/>
      <c r="B193" s="104"/>
      <c r="C193" s="104"/>
      <c r="D193" s="104"/>
      <c r="E193" s="104"/>
      <c r="F193" s="104"/>
      <c r="G193" s="104"/>
      <c r="H193" s="104"/>
      <c r="I193" s="104"/>
      <c r="J193" s="112"/>
      <c r="K193" s="104"/>
      <c r="L193" s="104"/>
      <c r="M193" s="104"/>
      <c r="N193" s="104"/>
      <c r="O193" s="104"/>
      <c r="P193" s="104"/>
      <c r="Q193" s="104"/>
      <c r="R193" s="104"/>
      <c r="S193" s="104"/>
      <c r="T193" s="104"/>
      <c r="U193" s="104"/>
      <c r="V193" s="104"/>
      <c r="W193" s="104"/>
      <c r="X193" s="104"/>
      <c r="Y193" s="104"/>
    </row>
    <row r="194">
      <c r="A194" s="104"/>
      <c r="B194" s="104"/>
      <c r="C194" s="104"/>
      <c r="D194" s="104"/>
      <c r="E194" s="104"/>
      <c r="F194" s="106"/>
      <c r="G194" s="104"/>
      <c r="H194" s="106"/>
      <c r="I194" s="104"/>
      <c r="J194" s="104"/>
      <c r="K194" s="104"/>
      <c r="L194" s="104"/>
      <c r="M194" s="104"/>
      <c r="N194" s="104"/>
      <c r="O194" s="104"/>
      <c r="P194" s="106"/>
      <c r="Q194" s="104"/>
      <c r="R194" s="106"/>
      <c r="S194" s="104"/>
      <c r="T194" s="104"/>
      <c r="U194" s="104"/>
      <c r="V194" s="88" t="s">
        <v>88</v>
      </c>
      <c r="W194" s="104"/>
      <c r="X194" s="104"/>
      <c r="Y194" s="104"/>
    </row>
    <row r="195" ht="22.5" customHeight="1">
      <c r="A195" s="2" t="s">
        <v>89</v>
      </c>
      <c r="B195" s="2" t="s">
        <v>90</v>
      </c>
      <c r="C195" s="2" t="s">
        <v>91</v>
      </c>
      <c r="D195" s="2" t="s">
        <v>92</v>
      </c>
      <c r="E195" s="2" t="s">
        <v>5</v>
      </c>
      <c r="F195" s="90" t="s">
        <v>93</v>
      </c>
      <c r="G195" s="2" t="s">
        <v>94</v>
      </c>
      <c r="H195" s="90" t="s">
        <v>46</v>
      </c>
      <c r="I195" s="108" t="s">
        <v>102</v>
      </c>
      <c r="J195" s="104"/>
      <c r="K195" s="2" t="s">
        <v>96</v>
      </c>
      <c r="L195" s="2" t="s">
        <v>90</v>
      </c>
      <c r="M195" s="2" t="s">
        <v>91</v>
      </c>
      <c r="N195" s="2" t="s">
        <v>92</v>
      </c>
      <c r="O195" s="2" t="s">
        <v>5</v>
      </c>
      <c r="P195" s="90" t="s">
        <v>93</v>
      </c>
      <c r="Q195" s="2" t="s">
        <v>94</v>
      </c>
      <c r="R195" s="90" t="s">
        <v>46</v>
      </c>
      <c r="S195" s="108" t="s">
        <v>102</v>
      </c>
      <c r="T195" s="104"/>
      <c r="U195" s="2" t="s">
        <v>97</v>
      </c>
      <c r="V195" s="2" t="s">
        <v>98</v>
      </c>
      <c r="W195" s="2" t="s">
        <v>99</v>
      </c>
      <c r="X195" s="2" t="s">
        <v>100</v>
      </c>
      <c r="Y195" s="2" t="s">
        <v>101</v>
      </c>
    </row>
    <row r="196" ht="22.5" customHeight="1">
      <c r="A196" s="10" t="s">
        <v>22</v>
      </c>
      <c r="G196" s="93" t="str">
        <f>IFERROR(__xludf.DUMMYFUNCTION("IFERROR(SUM(SPLIT(J193, ""-"")))"),"")</f>
        <v/>
      </c>
      <c r="H196" s="93" t="str">
        <f>IFERROR(__xludf.DUMMYFUNCTION("IFERROR(INDEX(SPLIT($J193, ""-""), 0, 1))"),"")</f>
        <v/>
      </c>
      <c r="J196" s="91"/>
      <c r="K196" s="10" t="s">
        <v>12</v>
      </c>
      <c r="Q196" s="93" t="str">
        <f>IFERROR(__xludf.DUMMYFUNCTION("IFERROR(SUM(SPLIT(J193, ""-"")))"),"")</f>
        <v/>
      </c>
      <c r="R196" s="93" t="str">
        <f>IFERROR(__xludf.DUMMYFUNCTION("IFERROR(INDEX(SPLIT($J193, ""-""), 0, 2))"),"")</f>
        <v/>
      </c>
      <c r="S196" s="109"/>
      <c r="T196" s="104"/>
      <c r="U196" s="94"/>
      <c r="V196" s="94"/>
      <c r="W196" s="94"/>
      <c r="X196" s="94"/>
      <c r="Y196" s="94"/>
    </row>
    <row r="197" ht="22.5" customHeight="1">
      <c r="A197" s="10" t="s">
        <v>20</v>
      </c>
      <c r="G197" s="95" t="str">
        <f>IFERROR(__xludf.DUMMYFUNCTION("IFERROR(SUM(SPLIT(J193, ""-"")))"),"")</f>
        <v/>
      </c>
      <c r="H197" s="95" t="str">
        <f>IFERROR(__xludf.DUMMYFUNCTION("IFERROR(INDEX(SPLIT($J193, ""-""), 0, 1))"),"")</f>
        <v/>
      </c>
      <c r="J197" s="91"/>
      <c r="K197" s="10" t="s">
        <v>24</v>
      </c>
      <c r="Q197" s="96" t="str">
        <f>IFERROR(__xludf.DUMMYFUNCTION("IFERROR(SUM(SPLIT(J193, ""-"")))"),"")</f>
        <v/>
      </c>
      <c r="R197" s="96" t="str">
        <f>IFERROR(__xludf.DUMMYFUNCTION("IFERROR(INDEX(SPLIT($J193, ""-""), 0, 2))"),"")</f>
        <v/>
      </c>
      <c r="S197" s="110"/>
      <c r="T197" s="104"/>
      <c r="U197" s="104"/>
      <c r="V197" s="104"/>
      <c r="W197" s="104"/>
      <c r="X197" s="104"/>
      <c r="Y197" s="104"/>
    </row>
    <row r="198">
      <c r="J198" s="91"/>
    </row>
    <row r="199">
      <c r="A199" s="80"/>
      <c r="B199" s="81"/>
      <c r="C199" s="81"/>
      <c r="D199" s="81"/>
      <c r="E199" s="81"/>
      <c r="F199" s="81"/>
      <c r="G199" s="81"/>
      <c r="H199" s="81"/>
      <c r="I199" s="81"/>
      <c r="J199" s="80" t="s">
        <v>111</v>
      </c>
      <c r="K199" s="81"/>
      <c r="L199" s="81"/>
      <c r="M199" s="81"/>
      <c r="N199" s="80" t="s">
        <v>85</v>
      </c>
      <c r="O199" s="81"/>
      <c r="P199" s="80" t="s">
        <v>24</v>
      </c>
      <c r="Q199" s="81"/>
      <c r="R199" s="81"/>
      <c r="S199" s="81"/>
      <c r="T199" s="80" t="s">
        <v>111</v>
      </c>
      <c r="U199" s="81"/>
      <c r="V199" s="81"/>
      <c r="W199" s="81"/>
      <c r="X199" s="81"/>
      <c r="Y199" s="81"/>
    </row>
    <row r="200">
      <c r="A200" s="84">
        <v>28.0</v>
      </c>
      <c r="J200" s="86" t="s">
        <v>87</v>
      </c>
    </row>
    <row r="201">
      <c r="J201" s="111"/>
      <c r="V201" s="88" t="s">
        <v>88</v>
      </c>
    </row>
    <row r="202" ht="22.5" customHeight="1">
      <c r="A202" s="2" t="s">
        <v>89</v>
      </c>
      <c r="B202" s="2" t="s">
        <v>90</v>
      </c>
      <c r="C202" s="2" t="s">
        <v>91</v>
      </c>
      <c r="D202" s="2" t="s">
        <v>92</v>
      </c>
      <c r="E202" s="2" t="s">
        <v>5</v>
      </c>
      <c r="F202" s="90" t="s">
        <v>93</v>
      </c>
      <c r="G202" s="2" t="s">
        <v>94</v>
      </c>
      <c r="H202" s="90" t="s">
        <v>46</v>
      </c>
      <c r="I202" s="2" t="s">
        <v>95</v>
      </c>
      <c r="J202" s="91"/>
      <c r="K202" s="2" t="s">
        <v>96</v>
      </c>
      <c r="L202" s="2" t="s">
        <v>90</v>
      </c>
      <c r="M202" s="2" t="s">
        <v>91</v>
      </c>
      <c r="N202" s="2" t="s">
        <v>92</v>
      </c>
      <c r="O202" s="2" t="s">
        <v>5</v>
      </c>
      <c r="P202" s="90" t="s">
        <v>93</v>
      </c>
      <c r="Q202" s="2" t="s">
        <v>94</v>
      </c>
      <c r="R202" s="90" t="s">
        <v>46</v>
      </c>
      <c r="S202" s="2" t="s">
        <v>95</v>
      </c>
      <c r="U202" s="2" t="s">
        <v>97</v>
      </c>
      <c r="V202" s="2" t="s">
        <v>98</v>
      </c>
      <c r="W202" s="2" t="s">
        <v>99</v>
      </c>
      <c r="X202" s="2" t="s">
        <v>100</v>
      </c>
      <c r="Y202" s="2" t="s">
        <v>101</v>
      </c>
    </row>
    <row r="203" ht="22.5" customHeight="1">
      <c r="A203" s="10" t="s">
        <v>31</v>
      </c>
      <c r="G203" s="93" t="str">
        <f>IFERROR(__xludf.DUMMYFUNCTION("IFERROR(SUM(SPLIT(J201, ""-"")))"),"")</f>
        <v/>
      </c>
      <c r="H203" s="93" t="str">
        <f>IFERROR(__xludf.DUMMYFUNCTION("IFERROR(INDEX(SPLIT($J201, ""-""), 0, 1))"),"")</f>
        <v/>
      </c>
      <c r="J203" s="91"/>
      <c r="K203" s="10" t="s">
        <v>18</v>
      </c>
      <c r="Q203" s="93" t="str">
        <f>IFERROR(__xludf.DUMMYFUNCTION("IFERROR(SUM(SPLIT(J201, ""-"")))"),"")</f>
        <v/>
      </c>
      <c r="R203" s="93" t="str">
        <f>IFERROR(__xludf.DUMMYFUNCTION("IFERROR(INDEX(SPLIT($J201, ""-""), 0, 2))"),"")</f>
        <v/>
      </c>
      <c r="U203" s="94"/>
      <c r="V203" s="94"/>
      <c r="W203" s="94"/>
      <c r="X203" s="94"/>
      <c r="Y203" s="94"/>
    </row>
    <row r="204" ht="22.5" customHeight="1">
      <c r="A204" s="10" t="s">
        <v>10</v>
      </c>
      <c r="G204" s="95" t="str">
        <f>IFERROR(__xludf.DUMMYFUNCTION("IFERROR(SUM(SPLIT(J201, ""-"")))"),"")</f>
        <v/>
      </c>
      <c r="H204" s="95" t="str">
        <f>IFERROR(__xludf.DUMMYFUNCTION("IFERROR(INDEX(SPLIT($J201, ""-""), 0, 1))"),"")</f>
        <v/>
      </c>
      <c r="J204" s="91"/>
      <c r="K204" s="10" t="s">
        <v>20</v>
      </c>
      <c r="Q204" s="96" t="str">
        <f>IFERROR(__xludf.DUMMYFUNCTION("IFERROR(SUM(SPLIT(J201, ""-"")))"),"")</f>
        <v/>
      </c>
      <c r="R204" s="96" t="str">
        <f>IFERROR(__xludf.DUMMYFUNCTION("IFERROR(INDEX(SPLIT($J201, ""-""), 0, 2))"),"")</f>
        <v/>
      </c>
    </row>
    <row r="205">
      <c r="A205" s="97"/>
      <c r="B205" s="97"/>
      <c r="C205" s="97"/>
      <c r="D205" s="97"/>
      <c r="E205" s="97"/>
      <c r="F205" s="97"/>
      <c r="G205" s="97"/>
      <c r="H205" s="97"/>
      <c r="I205" s="97"/>
      <c r="J205" s="98"/>
      <c r="K205" s="97"/>
      <c r="L205" s="97"/>
      <c r="M205" s="97"/>
      <c r="N205" s="97"/>
      <c r="O205" s="97"/>
      <c r="P205" s="97"/>
      <c r="Q205" s="97"/>
      <c r="R205" s="97"/>
      <c r="S205" s="97"/>
      <c r="T205" s="97"/>
      <c r="U205" s="97"/>
      <c r="V205" s="97"/>
      <c r="W205" s="97"/>
      <c r="X205" s="97"/>
      <c r="Y205" s="97"/>
    </row>
    <row r="206">
      <c r="A206" s="84">
        <v>29.0</v>
      </c>
      <c r="E206" s="85" t="s">
        <v>86</v>
      </c>
      <c r="J206" s="86" t="s">
        <v>87</v>
      </c>
      <c r="AA206" s="107"/>
    </row>
    <row r="207">
      <c r="J207" s="87"/>
    </row>
    <row r="208">
      <c r="F208" s="99"/>
      <c r="H208" s="99"/>
      <c r="J208" s="91"/>
      <c r="P208" s="99"/>
      <c r="R208" s="99"/>
      <c r="V208" s="88" t="s">
        <v>88</v>
      </c>
    </row>
    <row r="209" ht="22.5" customHeight="1">
      <c r="A209" s="2" t="s">
        <v>89</v>
      </c>
      <c r="B209" s="2" t="s">
        <v>90</v>
      </c>
      <c r="C209" s="2" t="s">
        <v>91</v>
      </c>
      <c r="D209" s="2" t="s">
        <v>92</v>
      </c>
      <c r="E209" s="2" t="s">
        <v>5</v>
      </c>
      <c r="F209" s="90" t="s">
        <v>93</v>
      </c>
      <c r="G209" s="2" t="s">
        <v>94</v>
      </c>
      <c r="H209" s="90" t="s">
        <v>46</v>
      </c>
      <c r="I209" s="4" t="s">
        <v>102</v>
      </c>
      <c r="J209" s="91"/>
      <c r="K209" s="2" t="s">
        <v>96</v>
      </c>
      <c r="L209" s="2" t="s">
        <v>90</v>
      </c>
      <c r="M209" s="2" t="s">
        <v>91</v>
      </c>
      <c r="N209" s="2" t="s">
        <v>92</v>
      </c>
      <c r="O209" s="2" t="s">
        <v>5</v>
      </c>
      <c r="P209" s="90" t="s">
        <v>93</v>
      </c>
      <c r="Q209" s="2" t="s">
        <v>94</v>
      </c>
      <c r="R209" s="90" t="s">
        <v>46</v>
      </c>
      <c r="S209" s="4" t="s">
        <v>102</v>
      </c>
      <c r="U209" s="2" t="s">
        <v>97</v>
      </c>
      <c r="V209" s="2" t="s">
        <v>98</v>
      </c>
      <c r="W209" s="2" t="s">
        <v>99</v>
      </c>
      <c r="X209" s="2" t="s">
        <v>100</v>
      </c>
      <c r="Y209" s="2" t="s">
        <v>101</v>
      </c>
    </row>
    <row r="210" ht="22.5" customHeight="1">
      <c r="A210" s="10" t="s">
        <v>14</v>
      </c>
      <c r="G210" s="93" t="str">
        <f>IFERROR(__xludf.DUMMYFUNCTION("IFERROR(SUM(SPLIT(J207, ""-"")))"),"")</f>
        <v/>
      </c>
      <c r="H210" s="93" t="str">
        <f>IFERROR(__xludf.DUMMYFUNCTION("IFERROR(INDEX(SPLIT($J207, ""-""), 0, 1))"),"")</f>
        <v/>
      </c>
      <c r="J210" s="91"/>
      <c r="K210" s="10" t="s">
        <v>12</v>
      </c>
      <c r="Q210" s="93" t="str">
        <f>IFERROR(__xludf.DUMMYFUNCTION("IFERROR(SUM(SPLIT(J207, ""-"")))"),"")</f>
        <v/>
      </c>
      <c r="R210" s="93" t="str">
        <f>IFERROR(__xludf.DUMMYFUNCTION("IFERROR(INDEX(SPLIT($J207, ""-""), 0, 2))"),"")</f>
        <v/>
      </c>
      <c r="U210" s="94"/>
      <c r="V210" s="94"/>
      <c r="W210" s="94"/>
      <c r="X210" s="94"/>
      <c r="Y210" s="94"/>
      <c r="AA210" s="107"/>
    </row>
    <row r="211" ht="22.5" customHeight="1">
      <c r="A211" s="10" t="s">
        <v>11</v>
      </c>
      <c r="G211" s="95" t="str">
        <f>IFERROR(__xludf.DUMMYFUNCTION("IFERROR(SUM(SPLIT(J207, ""-"")))"),"")</f>
        <v/>
      </c>
      <c r="H211" s="95" t="str">
        <f>IFERROR(__xludf.DUMMYFUNCTION("IFERROR(INDEX(SPLIT($J207, ""-""), 0, 1))"),"")</f>
        <v/>
      </c>
      <c r="J211" s="91"/>
      <c r="K211" s="10" t="s">
        <v>16</v>
      </c>
      <c r="Q211" s="96" t="str">
        <f>IFERROR(__xludf.DUMMYFUNCTION("IFERROR(SUM(SPLIT(J207, ""-"")))"),"")</f>
        <v/>
      </c>
      <c r="R211" s="96" t="str">
        <f>IFERROR(__xludf.DUMMYFUNCTION("IFERROR(INDEX(SPLIT($J207, ""-""), 0, 2))"),"")</f>
        <v/>
      </c>
    </row>
    <row r="212">
      <c r="J212" s="91"/>
    </row>
    <row r="213">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row>
    <row r="214">
      <c r="A214" s="103">
        <v>30.0</v>
      </c>
      <c r="B214" s="104"/>
      <c r="C214" s="104"/>
      <c r="D214" s="104"/>
      <c r="E214" s="104"/>
      <c r="F214" s="104"/>
      <c r="G214" s="104"/>
      <c r="H214" s="104"/>
      <c r="I214" s="104"/>
      <c r="J214" s="105" t="s">
        <v>87</v>
      </c>
      <c r="K214" s="104"/>
      <c r="L214" s="104"/>
      <c r="M214" s="104"/>
      <c r="N214" s="104"/>
      <c r="O214" s="104"/>
      <c r="P214" s="104"/>
      <c r="Q214" s="104"/>
      <c r="R214" s="104"/>
      <c r="S214" s="104"/>
      <c r="T214" s="104"/>
      <c r="U214" s="104"/>
      <c r="V214" s="104"/>
      <c r="W214" s="104"/>
      <c r="X214" s="104"/>
      <c r="Y214" s="104"/>
    </row>
    <row r="215">
      <c r="A215" s="104"/>
      <c r="B215" s="104"/>
      <c r="C215" s="104"/>
      <c r="D215" s="104"/>
      <c r="E215" s="104"/>
      <c r="F215" s="104"/>
      <c r="G215" s="104"/>
      <c r="H215" s="104"/>
      <c r="I215" s="104"/>
      <c r="J215" s="112"/>
      <c r="K215" s="104"/>
      <c r="L215" s="104"/>
      <c r="M215" s="104"/>
      <c r="N215" s="104"/>
      <c r="O215" s="104"/>
      <c r="P215" s="104"/>
      <c r="Q215" s="104"/>
      <c r="R215" s="104"/>
      <c r="S215" s="104"/>
      <c r="T215" s="104"/>
      <c r="U215" s="104"/>
      <c r="V215" s="104"/>
      <c r="W215" s="104"/>
      <c r="X215" s="104"/>
      <c r="Y215" s="104"/>
    </row>
    <row r="216">
      <c r="A216" s="104"/>
      <c r="B216" s="104"/>
      <c r="C216" s="104"/>
      <c r="D216" s="104"/>
      <c r="E216" s="104"/>
      <c r="F216" s="106"/>
      <c r="G216" s="104"/>
      <c r="H216" s="106"/>
      <c r="I216" s="104"/>
      <c r="J216" s="104"/>
      <c r="K216" s="104"/>
      <c r="L216" s="104"/>
      <c r="M216" s="104"/>
      <c r="N216" s="104"/>
      <c r="O216" s="104"/>
      <c r="P216" s="106"/>
      <c r="Q216" s="104"/>
      <c r="R216" s="106"/>
      <c r="S216" s="104"/>
      <c r="T216" s="104"/>
      <c r="U216" s="104"/>
      <c r="V216" s="88" t="s">
        <v>88</v>
      </c>
      <c r="W216" s="104"/>
      <c r="X216" s="104"/>
      <c r="Y216" s="104"/>
    </row>
    <row r="217" ht="22.5" customHeight="1">
      <c r="A217" s="2" t="s">
        <v>89</v>
      </c>
      <c r="B217" s="2" t="s">
        <v>90</v>
      </c>
      <c r="C217" s="2" t="s">
        <v>91</v>
      </c>
      <c r="D217" s="2" t="s">
        <v>92</v>
      </c>
      <c r="E217" s="2" t="s">
        <v>5</v>
      </c>
      <c r="F217" s="90" t="s">
        <v>93</v>
      </c>
      <c r="G217" s="2" t="s">
        <v>94</v>
      </c>
      <c r="H217" s="90" t="s">
        <v>46</v>
      </c>
      <c r="I217" s="108" t="s">
        <v>102</v>
      </c>
      <c r="J217" s="104"/>
      <c r="K217" s="2" t="s">
        <v>96</v>
      </c>
      <c r="L217" s="2" t="s">
        <v>90</v>
      </c>
      <c r="M217" s="2" t="s">
        <v>91</v>
      </c>
      <c r="N217" s="2" t="s">
        <v>92</v>
      </c>
      <c r="O217" s="2" t="s">
        <v>5</v>
      </c>
      <c r="P217" s="90" t="s">
        <v>93</v>
      </c>
      <c r="Q217" s="2" t="s">
        <v>94</v>
      </c>
      <c r="R217" s="90" t="s">
        <v>46</v>
      </c>
      <c r="S217" s="108" t="s">
        <v>102</v>
      </c>
      <c r="T217" s="104"/>
      <c r="U217" s="2" t="s">
        <v>97</v>
      </c>
      <c r="V217" s="2" t="s">
        <v>98</v>
      </c>
      <c r="W217" s="2" t="s">
        <v>99</v>
      </c>
      <c r="X217" s="2" t="s">
        <v>100</v>
      </c>
      <c r="Y217" s="2" t="s">
        <v>101</v>
      </c>
    </row>
    <row r="218" ht="22.5" customHeight="1">
      <c r="A218" s="10" t="s">
        <v>26</v>
      </c>
      <c r="G218" s="93" t="str">
        <f>IFERROR(__xludf.DUMMYFUNCTION("IFERROR(SUM(SPLIT(J215, ""-"")))"),"")</f>
        <v/>
      </c>
      <c r="H218" s="93" t="str">
        <f>IFERROR(__xludf.DUMMYFUNCTION("IFERROR(INDEX(SPLIT($J215, ""-""), 0, 1))"),"")</f>
        <v/>
      </c>
      <c r="J218" s="91"/>
      <c r="K218" s="10" t="s">
        <v>28</v>
      </c>
      <c r="Q218" s="93" t="str">
        <f>IFERROR(__xludf.DUMMYFUNCTION("IFERROR(SUM(SPLIT(J215, ""-"")))"),"")</f>
        <v/>
      </c>
      <c r="R218" s="93" t="str">
        <f>IFERROR(__xludf.DUMMYFUNCTION("IFERROR(INDEX(SPLIT($J215, ""-""), 0, 2))"),"")</f>
        <v/>
      </c>
      <c r="S218" s="109"/>
      <c r="T218" s="104"/>
      <c r="U218" s="94"/>
      <c r="V218" s="94"/>
      <c r="W218" s="94"/>
      <c r="X218" s="94"/>
      <c r="Y218" s="94"/>
    </row>
    <row r="219" ht="22.5" customHeight="1">
      <c r="A219" s="10" t="s">
        <v>30</v>
      </c>
      <c r="G219" s="95" t="str">
        <f>IFERROR(__xludf.DUMMYFUNCTION("IFERROR(SUM(SPLIT(J215, ""-"")))"),"")</f>
        <v/>
      </c>
      <c r="H219" s="95" t="str">
        <f>IFERROR(__xludf.DUMMYFUNCTION("IFERROR(INDEX(SPLIT($J215, ""-""), 0, 1))"),"")</f>
        <v/>
      </c>
      <c r="J219" s="91"/>
      <c r="K219" s="10" t="s">
        <v>22</v>
      </c>
      <c r="Q219" s="96" t="str">
        <f>IFERROR(__xludf.DUMMYFUNCTION("IFERROR(SUM(SPLIT(J215, ""-"")))"),"")</f>
        <v/>
      </c>
      <c r="R219" s="96" t="str">
        <f>IFERROR(__xludf.DUMMYFUNCTION("IFERROR(INDEX(SPLIT($J215, ""-""), 0, 2))"),"")</f>
        <v/>
      </c>
      <c r="S219" s="110"/>
      <c r="T219" s="104"/>
      <c r="U219" s="104"/>
      <c r="V219" s="104"/>
      <c r="W219" s="104"/>
      <c r="X219" s="104"/>
      <c r="Y219" s="104"/>
    </row>
    <row r="220">
      <c r="J220" s="91"/>
    </row>
    <row r="221">
      <c r="A221" s="80"/>
      <c r="B221" s="81"/>
      <c r="C221" s="81"/>
      <c r="D221" s="81"/>
      <c r="E221" s="81"/>
      <c r="F221" s="81"/>
      <c r="G221" s="81"/>
      <c r="H221" s="81"/>
      <c r="I221" s="81"/>
      <c r="J221" s="80" t="s">
        <v>112</v>
      </c>
      <c r="K221" s="81"/>
      <c r="L221" s="81"/>
      <c r="M221" s="80" t="s">
        <v>85</v>
      </c>
      <c r="N221" s="81"/>
      <c r="O221" s="80" t="s">
        <v>16</v>
      </c>
      <c r="P221" s="81"/>
      <c r="Q221" s="81"/>
      <c r="R221" s="81"/>
      <c r="S221" s="81"/>
      <c r="T221" s="80" t="s">
        <v>112</v>
      </c>
      <c r="U221" s="81"/>
      <c r="V221" s="81"/>
      <c r="W221" s="81"/>
      <c r="X221" s="81"/>
      <c r="Y221" s="81"/>
    </row>
    <row r="222">
      <c r="A222" s="84">
        <v>31.0</v>
      </c>
      <c r="J222" s="86" t="s">
        <v>87</v>
      </c>
    </row>
    <row r="223">
      <c r="J223" s="111"/>
      <c r="V223" s="88" t="s">
        <v>88</v>
      </c>
    </row>
    <row r="224" ht="22.5" customHeight="1">
      <c r="A224" s="2" t="s">
        <v>89</v>
      </c>
      <c r="B224" s="2" t="s">
        <v>90</v>
      </c>
      <c r="C224" s="2" t="s">
        <v>91</v>
      </c>
      <c r="D224" s="2" t="s">
        <v>92</v>
      </c>
      <c r="E224" s="2" t="s">
        <v>5</v>
      </c>
      <c r="F224" s="90" t="s">
        <v>93</v>
      </c>
      <c r="G224" s="2" t="s">
        <v>94</v>
      </c>
      <c r="H224" s="90" t="s">
        <v>46</v>
      </c>
      <c r="I224" s="2" t="s">
        <v>95</v>
      </c>
      <c r="J224" s="91"/>
      <c r="K224" s="2" t="s">
        <v>96</v>
      </c>
      <c r="L224" s="2" t="s">
        <v>90</v>
      </c>
      <c r="M224" s="2" t="s">
        <v>91</v>
      </c>
      <c r="N224" s="2" t="s">
        <v>92</v>
      </c>
      <c r="O224" s="2" t="s">
        <v>5</v>
      </c>
      <c r="P224" s="90" t="s">
        <v>93</v>
      </c>
      <c r="Q224" s="2" t="s">
        <v>94</v>
      </c>
      <c r="R224" s="90" t="s">
        <v>46</v>
      </c>
      <c r="S224" s="2" t="s">
        <v>95</v>
      </c>
      <c r="U224" s="2" t="s">
        <v>97</v>
      </c>
      <c r="V224" s="2" t="s">
        <v>98</v>
      </c>
      <c r="W224" s="2" t="s">
        <v>99</v>
      </c>
      <c r="X224" s="2" t="s">
        <v>100</v>
      </c>
      <c r="Y224" s="2" t="s">
        <v>101</v>
      </c>
    </row>
    <row r="225" ht="22.5" customHeight="1">
      <c r="A225" s="10" t="s">
        <v>26</v>
      </c>
      <c r="G225" s="93" t="str">
        <f>IFERROR(__xludf.DUMMYFUNCTION("IFERROR(SUM(SPLIT(J223, ""-"")))"),"")</f>
        <v/>
      </c>
      <c r="H225" s="93" t="str">
        <f>IFERROR(__xludf.DUMMYFUNCTION("IFERROR(INDEX(SPLIT($J223, ""-""), 0, 1))"),"")</f>
        <v/>
      </c>
      <c r="J225" s="91"/>
      <c r="K225" s="10" t="s">
        <v>24</v>
      </c>
      <c r="Q225" s="93" t="str">
        <f>IFERROR(__xludf.DUMMYFUNCTION("IFERROR(SUM(SPLIT(J223, ""-"")))"),"")</f>
        <v/>
      </c>
      <c r="R225" s="93" t="str">
        <f>IFERROR(__xludf.DUMMYFUNCTION("IFERROR(INDEX(SPLIT($J223, ""-""), 0, 2))"),"")</f>
        <v/>
      </c>
      <c r="U225" s="94"/>
      <c r="V225" s="94"/>
      <c r="W225" s="94"/>
      <c r="X225" s="94"/>
      <c r="Y225" s="94"/>
    </row>
    <row r="226" ht="22.5" customHeight="1">
      <c r="A226" s="10" t="s">
        <v>14</v>
      </c>
      <c r="G226" s="95" t="str">
        <f>IFERROR(__xludf.DUMMYFUNCTION("IFERROR(SUM(SPLIT(J223, ""-"")))"),"")</f>
        <v/>
      </c>
      <c r="H226" s="95" t="str">
        <f>IFERROR(__xludf.DUMMYFUNCTION("IFERROR(INDEX(SPLIT($J223, ""-""), 0, 1))"),"")</f>
        <v/>
      </c>
      <c r="J226" s="91"/>
      <c r="K226" s="10" t="s">
        <v>22</v>
      </c>
      <c r="Q226" s="96" t="str">
        <f>IFERROR(__xludf.DUMMYFUNCTION("IFERROR(SUM(SPLIT(J223, ""-"")))"),"")</f>
        <v/>
      </c>
      <c r="R226" s="96" t="str">
        <f>IFERROR(__xludf.DUMMYFUNCTION("IFERROR(INDEX(SPLIT($J223, ""-""), 0, 2))"),"")</f>
        <v/>
      </c>
    </row>
    <row r="227">
      <c r="A227" s="97"/>
      <c r="B227" s="97"/>
      <c r="C227" s="97"/>
      <c r="D227" s="97"/>
      <c r="E227" s="97"/>
      <c r="F227" s="97"/>
      <c r="G227" s="97"/>
      <c r="H227" s="97"/>
      <c r="I227" s="97"/>
      <c r="J227" s="98"/>
      <c r="K227" s="97"/>
      <c r="L227" s="97"/>
      <c r="M227" s="97"/>
      <c r="N227" s="97"/>
      <c r="O227" s="97"/>
      <c r="P227" s="97"/>
      <c r="Q227" s="97"/>
      <c r="R227" s="97"/>
      <c r="S227" s="97"/>
      <c r="T227" s="97"/>
      <c r="U227" s="97"/>
      <c r="V227" s="97"/>
      <c r="W227" s="97"/>
      <c r="X227" s="97"/>
      <c r="Y227" s="97"/>
    </row>
    <row r="228">
      <c r="A228" s="84">
        <v>32.0</v>
      </c>
      <c r="E228" s="85"/>
      <c r="J228" s="86" t="s">
        <v>87</v>
      </c>
    </row>
    <row r="229">
      <c r="J229" s="87"/>
    </row>
    <row r="230">
      <c r="F230" s="99"/>
      <c r="H230" s="99"/>
      <c r="J230" s="91"/>
      <c r="P230" s="99"/>
      <c r="R230" s="99"/>
      <c r="V230" s="88" t="s">
        <v>88</v>
      </c>
    </row>
    <row r="231" ht="22.5" customHeight="1">
      <c r="A231" s="2" t="s">
        <v>89</v>
      </c>
      <c r="B231" s="2" t="s">
        <v>90</v>
      </c>
      <c r="C231" s="2" t="s">
        <v>91</v>
      </c>
      <c r="D231" s="2" t="s">
        <v>92</v>
      </c>
      <c r="E231" s="2" t="s">
        <v>5</v>
      </c>
      <c r="F231" s="90" t="s">
        <v>93</v>
      </c>
      <c r="G231" s="2" t="s">
        <v>94</v>
      </c>
      <c r="H231" s="90" t="s">
        <v>46</v>
      </c>
      <c r="I231" s="4" t="s">
        <v>102</v>
      </c>
      <c r="J231" s="91"/>
      <c r="K231" s="2" t="s">
        <v>96</v>
      </c>
      <c r="L231" s="2" t="s">
        <v>90</v>
      </c>
      <c r="M231" s="2" t="s">
        <v>91</v>
      </c>
      <c r="N231" s="2" t="s">
        <v>92</v>
      </c>
      <c r="O231" s="2" t="s">
        <v>5</v>
      </c>
      <c r="P231" s="90" t="s">
        <v>93</v>
      </c>
      <c r="Q231" s="2" t="s">
        <v>94</v>
      </c>
      <c r="R231" s="90" t="s">
        <v>46</v>
      </c>
      <c r="S231" s="4" t="s">
        <v>102</v>
      </c>
      <c r="U231" s="2" t="s">
        <v>97</v>
      </c>
      <c r="V231" s="2" t="s">
        <v>98</v>
      </c>
      <c r="W231" s="2" t="s">
        <v>99</v>
      </c>
      <c r="X231" s="2" t="s">
        <v>100</v>
      </c>
      <c r="Y231" s="2" t="s">
        <v>101</v>
      </c>
    </row>
    <row r="232" ht="22.5" customHeight="1">
      <c r="A232" s="10" t="s">
        <v>31</v>
      </c>
      <c r="G232" s="93" t="str">
        <f>IFERROR(__xludf.DUMMYFUNCTION("IFERROR(SUM(SPLIT(J229, ""-"")))"),"")</f>
        <v/>
      </c>
      <c r="H232" s="93" t="str">
        <f>IFERROR(__xludf.DUMMYFUNCTION("IFERROR(INDEX(SPLIT($J229, ""-""), 0, 1))"),"")</f>
        <v/>
      </c>
      <c r="J232" s="91"/>
      <c r="K232" s="10" t="s">
        <v>12</v>
      </c>
      <c r="Q232" s="93" t="str">
        <f>IFERROR(__xludf.DUMMYFUNCTION("IFERROR(SUM(SPLIT(J229, ""-"")))"),"")</f>
        <v/>
      </c>
      <c r="R232" s="93" t="str">
        <f>IFERROR(__xludf.DUMMYFUNCTION("IFERROR(INDEX(SPLIT($J229, ""-""), 0, 2))"),"")</f>
        <v/>
      </c>
      <c r="U232" s="94"/>
      <c r="V232" s="94"/>
      <c r="W232" s="94"/>
      <c r="X232" s="94"/>
      <c r="Y232" s="94"/>
    </row>
    <row r="233" ht="22.5" customHeight="1">
      <c r="A233" s="10" t="s">
        <v>11</v>
      </c>
      <c r="G233" s="95" t="str">
        <f>IFERROR(__xludf.DUMMYFUNCTION("IFERROR(SUM(SPLIT(J229, ""-"")))"),"")</f>
        <v/>
      </c>
      <c r="H233" s="95" t="str">
        <f>IFERROR(__xludf.DUMMYFUNCTION("IFERROR(INDEX(SPLIT($J229, ""-""), 0, 1))"),"")</f>
        <v/>
      </c>
      <c r="J233" s="91"/>
      <c r="K233" s="10" t="s">
        <v>30</v>
      </c>
      <c r="Q233" s="96" t="str">
        <f>IFERROR(__xludf.DUMMYFUNCTION("IFERROR(SUM(SPLIT(J229, ""-"")))"),"")</f>
        <v/>
      </c>
      <c r="R233" s="96" t="str">
        <f>IFERROR(__xludf.DUMMYFUNCTION("IFERROR(INDEX(SPLIT($J229, ""-""), 0, 2))"),"")</f>
        <v/>
      </c>
    </row>
    <row r="234">
      <c r="J234" s="91"/>
    </row>
    <row r="235">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row>
    <row r="236">
      <c r="A236" s="103">
        <v>33.0</v>
      </c>
      <c r="B236" s="104"/>
      <c r="C236" s="104"/>
      <c r="D236" s="104"/>
      <c r="E236" s="85" t="s">
        <v>86</v>
      </c>
      <c r="F236" s="104"/>
      <c r="G236" s="104"/>
      <c r="H236" s="104"/>
      <c r="I236" s="104"/>
      <c r="J236" s="105" t="s">
        <v>87</v>
      </c>
      <c r="K236" s="104"/>
      <c r="L236" s="104"/>
      <c r="M236" s="104"/>
      <c r="N236" s="104"/>
      <c r="O236" s="104"/>
      <c r="P236" s="104"/>
      <c r="Q236" s="104"/>
      <c r="R236" s="104"/>
      <c r="S236" s="104"/>
      <c r="T236" s="104"/>
      <c r="U236" s="104"/>
      <c r="V236" s="104"/>
      <c r="W236" s="104"/>
      <c r="X236" s="104"/>
      <c r="Y236" s="104"/>
    </row>
    <row r="237">
      <c r="A237" s="104"/>
      <c r="B237" s="104"/>
      <c r="C237" s="104"/>
      <c r="D237" s="104"/>
      <c r="E237" s="104"/>
      <c r="F237" s="104"/>
      <c r="G237" s="104"/>
      <c r="H237" s="104"/>
      <c r="I237" s="104"/>
      <c r="J237" s="112"/>
      <c r="K237" s="104"/>
      <c r="L237" s="104"/>
      <c r="M237" s="104"/>
      <c r="N237" s="104"/>
      <c r="O237" s="104"/>
      <c r="P237" s="104"/>
      <c r="Q237" s="104"/>
      <c r="R237" s="104"/>
      <c r="S237" s="104"/>
      <c r="T237" s="104"/>
      <c r="U237" s="104"/>
      <c r="V237" s="104"/>
      <c r="W237" s="104"/>
      <c r="X237" s="104"/>
      <c r="Y237" s="104"/>
    </row>
    <row r="238">
      <c r="A238" s="104"/>
      <c r="B238" s="104"/>
      <c r="C238" s="104"/>
      <c r="D238" s="104"/>
      <c r="E238" s="104"/>
      <c r="F238" s="106"/>
      <c r="G238" s="104"/>
      <c r="H238" s="106"/>
      <c r="I238" s="104"/>
      <c r="J238" s="104"/>
      <c r="K238" s="104"/>
      <c r="L238" s="104"/>
      <c r="M238" s="104"/>
      <c r="N238" s="104"/>
      <c r="O238" s="104"/>
      <c r="P238" s="106"/>
      <c r="Q238" s="104"/>
      <c r="R238" s="106"/>
      <c r="S238" s="104"/>
      <c r="T238" s="104"/>
      <c r="U238" s="104"/>
      <c r="V238" s="88" t="s">
        <v>88</v>
      </c>
      <c r="W238" s="104"/>
      <c r="X238" s="104"/>
      <c r="Y238" s="104"/>
    </row>
    <row r="239" ht="22.5" customHeight="1">
      <c r="A239" s="2" t="s">
        <v>89</v>
      </c>
      <c r="B239" s="2" t="s">
        <v>90</v>
      </c>
      <c r="C239" s="2" t="s">
        <v>91</v>
      </c>
      <c r="D239" s="2" t="s">
        <v>92</v>
      </c>
      <c r="E239" s="2" t="s">
        <v>5</v>
      </c>
      <c r="F239" s="90" t="s">
        <v>93</v>
      </c>
      <c r="G239" s="2" t="s">
        <v>94</v>
      </c>
      <c r="H239" s="90" t="s">
        <v>46</v>
      </c>
      <c r="I239" s="108" t="s">
        <v>102</v>
      </c>
      <c r="J239" s="104"/>
      <c r="K239" s="2" t="s">
        <v>96</v>
      </c>
      <c r="L239" s="2" t="s">
        <v>90</v>
      </c>
      <c r="M239" s="2" t="s">
        <v>91</v>
      </c>
      <c r="N239" s="2" t="s">
        <v>92</v>
      </c>
      <c r="O239" s="2" t="s">
        <v>5</v>
      </c>
      <c r="P239" s="90" t="s">
        <v>93</v>
      </c>
      <c r="Q239" s="2" t="s">
        <v>94</v>
      </c>
      <c r="R239" s="90" t="s">
        <v>46</v>
      </c>
      <c r="S239" s="108" t="s">
        <v>102</v>
      </c>
      <c r="T239" s="104"/>
      <c r="U239" s="2" t="s">
        <v>97</v>
      </c>
      <c r="V239" s="2" t="s">
        <v>98</v>
      </c>
      <c r="W239" s="2" t="s">
        <v>99</v>
      </c>
      <c r="X239" s="2" t="s">
        <v>100</v>
      </c>
      <c r="Y239" s="2" t="s">
        <v>101</v>
      </c>
    </row>
    <row r="240" ht="22.5" customHeight="1">
      <c r="A240" s="10" t="s">
        <v>24</v>
      </c>
      <c r="G240" s="93" t="str">
        <f>IFERROR(__xludf.DUMMYFUNCTION("IFERROR(SUM(SPLIT(J237, ""-"")))"),"")</f>
        <v/>
      </c>
      <c r="H240" s="93" t="str">
        <f>IFERROR(__xludf.DUMMYFUNCTION("IFERROR(INDEX(SPLIT($J237, ""-""), 0, 1))"),"")</f>
        <v/>
      </c>
      <c r="J240" s="91"/>
      <c r="K240" s="10" t="s">
        <v>26</v>
      </c>
      <c r="Q240" s="93" t="str">
        <f>IFERROR(__xludf.DUMMYFUNCTION("IFERROR(SUM(SPLIT(J237, ""-"")))"),"")</f>
        <v/>
      </c>
      <c r="R240" s="93" t="str">
        <f>IFERROR(__xludf.DUMMYFUNCTION("IFERROR(INDEX(SPLIT($J237, ""-""), 0, 2))"),"")</f>
        <v/>
      </c>
      <c r="S240" s="109"/>
      <c r="T240" s="104"/>
      <c r="U240" s="94"/>
      <c r="V240" s="94"/>
      <c r="W240" s="94"/>
      <c r="X240" s="94"/>
      <c r="Y240" s="94"/>
    </row>
    <row r="241" ht="22.5" customHeight="1">
      <c r="A241" s="10" t="s">
        <v>18</v>
      </c>
      <c r="G241" s="95" t="str">
        <f>IFERROR(__xludf.DUMMYFUNCTION("IFERROR(SUM(SPLIT(J237, ""-"")))"),"")</f>
        <v/>
      </c>
      <c r="H241" s="95" t="str">
        <f>IFERROR(__xludf.DUMMYFUNCTION("IFERROR(INDEX(SPLIT($J237, ""-""), 0, 1))"),"")</f>
        <v/>
      </c>
      <c r="J241" s="91"/>
      <c r="K241" s="10" t="s">
        <v>12</v>
      </c>
      <c r="Q241" s="96" t="str">
        <f>IFERROR(__xludf.DUMMYFUNCTION("IFERROR(SUM(SPLIT(J237, ""-"")))"),"")</f>
        <v/>
      </c>
      <c r="R241" s="96" t="str">
        <f>IFERROR(__xludf.DUMMYFUNCTION("IFERROR(INDEX(SPLIT($J237, ""-""), 0, 2))"),"")</f>
        <v/>
      </c>
      <c r="S241" s="110"/>
      <c r="T241" s="104"/>
      <c r="U241" s="104"/>
      <c r="V241" s="104"/>
      <c r="W241" s="104"/>
      <c r="X241" s="104"/>
      <c r="Y241" s="104"/>
    </row>
    <row r="242">
      <c r="J242" s="91"/>
    </row>
    <row r="243">
      <c r="A243" s="80"/>
      <c r="B243" s="81"/>
      <c r="C243" s="81"/>
      <c r="D243" s="81"/>
      <c r="E243" s="81"/>
      <c r="F243" s="81"/>
      <c r="G243" s="81"/>
      <c r="H243" s="81"/>
      <c r="I243" s="81"/>
      <c r="J243" s="80" t="s">
        <v>113</v>
      </c>
      <c r="K243" s="81"/>
      <c r="L243" s="81"/>
      <c r="M243" s="80" t="s">
        <v>85</v>
      </c>
      <c r="N243" s="81"/>
      <c r="O243" s="80" t="s">
        <v>30</v>
      </c>
      <c r="P243" s="81"/>
      <c r="Q243" s="81"/>
      <c r="R243" s="81"/>
      <c r="S243" s="81"/>
      <c r="T243" s="80" t="s">
        <v>113</v>
      </c>
      <c r="U243" s="81"/>
      <c r="V243" s="81"/>
      <c r="W243" s="81"/>
      <c r="X243" s="81"/>
      <c r="Y243" s="81"/>
    </row>
    <row r="244">
      <c r="A244" s="84">
        <v>34.0</v>
      </c>
      <c r="J244" s="86" t="s">
        <v>87</v>
      </c>
    </row>
    <row r="245">
      <c r="J245" s="111"/>
      <c r="V245" s="88" t="s">
        <v>88</v>
      </c>
    </row>
    <row r="246" ht="22.5" customHeight="1">
      <c r="A246" s="2" t="s">
        <v>89</v>
      </c>
      <c r="B246" s="2" t="s">
        <v>90</v>
      </c>
      <c r="C246" s="2" t="s">
        <v>91</v>
      </c>
      <c r="D246" s="2" t="s">
        <v>92</v>
      </c>
      <c r="E246" s="2" t="s">
        <v>5</v>
      </c>
      <c r="F246" s="90" t="s">
        <v>93</v>
      </c>
      <c r="G246" s="2" t="s">
        <v>94</v>
      </c>
      <c r="H246" s="90" t="s">
        <v>46</v>
      </c>
      <c r="I246" s="2" t="s">
        <v>95</v>
      </c>
      <c r="J246" s="91"/>
      <c r="K246" s="2" t="s">
        <v>96</v>
      </c>
      <c r="L246" s="2" t="s">
        <v>90</v>
      </c>
      <c r="M246" s="2" t="s">
        <v>91</v>
      </c>
      <c r="N246" s="2" t="s">
        <v>92</v>
      </c>
      <c r="O246" s="2" t="s">
        <v>5</v>
      </c>
      <c r="P246" s="90" t="s">
        <v>93</v>
      </c>
      <c r="Q246" s="2" t="s">
        <v>94</v>
      </c>
      <c r="R246" s="90" t="s">
        <v>46</v>
      </c>
      <c r="S246" s="2" t="s">
        <v>95</v>
      </c>
      <c r="U246" s="2" t="s">
        <v>97</v>
      </c>
      <c r="V246" s="2" t="s">
        <v>98</v>
      </c>
      <c r="W246" s="2" t="s">
        <v>99</v>
      </c>
      <c r="X246" s="2" t="s">
        <v>100</v>
      </c>
      <c r="Y246" s="2" t="s">
        <v>101</v>
      </c>
    </row>
    <row r="247" ht="22.5" customHeight="1">
      <c r="A247" s="10" t="s">
        <v>31</v>
      </c>
      <c r="G247" s="93" t="str">
        <f>IFERROR(__xludf.DUMMYFUNCTION("IFERROR(SUM(SPLIT(J245, ""-"")))"),"")</f>
        <v/>
      </c>
      <c r="H247" s="93" t="str">
        <f>IFERROR(__xludf.DUMMYFUNCTION("IFERROR(INDEX(SPLIT($J245, ""-""), 0, 1))"),"")</f>
        <v/>
      </c>
      <c r="J247" s="91"/>
      <c r="K247" s="10" t="s">
        <v>10</v>
      </c>
      <c r="Q247" s="93" t="str">
        <f>IFERROR(__xludf.DUMMYFUNCTION("IFERROR(SUM(SPLIT(J245, ""-"")))"),"")</f>
        <v/>
      </c>
      <c r="R247" s="93" t="str">
        <f>IFERROR(__xludf.DUMMYFUNCTION("IFERROR(INDEX(SPLIT($J245, ""-""), 0, 2))"),"")</f>
        <v/>
      </c>
      <c r="U247" s="94"/>
      <c r="V247" s="94"/>
      <c r="W247" s="94"/>
      <c r="X247" s="94"/>
      <c r="Y247" s="94"/>
    </row>
    <row r="248" ht="22.5" customHeight="1">
      <c r="A248" s="10" t="s">
        <v>14</v>
      </c>
      <c r="G248" s="95" t="str">
        <f>IFERROR(__xludf.DUMMYFUNCTION("IFERROR(SUM(SPLIT(J245, ""-"")))"),"")</f>
        <v/>
      </c>
      <c r="H248" s="95" t="str">
        <f>IFERROR(__xludf.DUMMYFUNCTION("IFERROR(INDEX(SPLIT($J245, ""-""), 0, 1))"),"")</f>
        <v/>
      </c>
      <c r="J248" s="91"/>
      <c r="K248" s="10" t="s">
        <v>28</v>
      </c>
      <c r="Q248" s="96" t="str">
        <f>IFERROR(__xludf.DUMMYFUNCTION("IFERROR(SUM(SPLIT(J245, ""-"")))"),"")</f>
        <v/>
      </c>
      <c r="R248" s="96" t="str">
        <f>IFERROR(__xludf.DUMMYFUNCTION("IFERROR(INDEX(SPLIT($J245, ""-""), 0, 2))"),"")</f>
        <v/>
      </c>
    </row>
    <row r="249">
      <c r="A249" s="97"/>
      <c r="B249" s="97"/>
      <c r="C249" s="97"/>
      <c r="D249" s="97"/>
      <c r="E249" s="97"/>
      <c r="F249" s="97"/>
      <c r="G249" s="97"/>
      <c r="H249" s="97"/>
      <c r="I249" s="97"/>
      <c r="J249" s="98"/>
      <c r="K249" s="97"/>
      <c r="L249" s="97"/>
      <c r="M249" s="97"/>
      <c r="N249" s="97"/>
      <c r="O249" s="97"/>
      <c r="P249" s="97"/>
      <c r="Q249" s="97"/>
      <c r="R249" s="97"/>
      <c r="S249" s="97"/>
      <c r="T249" s="97"/>
      <c r="U249" s="97"/>
      <c r="V249" s="97"/>
      <c r="W249" s="97"/>
      <c r="X249" s="97"/>
      <c r="Y249" s="97"/>
    </row>
    <row r="250">
      <c r="A250" s="84">
        <v>35.0</v>
      </c>
      <c r="G250" s="85" t="s">
        <v>86</v>
      </c>
      <c r="J250" s="86" t="s">
        <v>87</v>
      </c>
    </row>
    <row r="251">
      <c r="J251" s="87"/>
    </row>
    <row r="252">
      <c r="F252" s="99"/>
      <c r="H252" s="99"/>
      <c r="J252" s="91"/>
      <c r="P252" s="99"/>
      <c r="R252" s="99"/>
      <c r="V252" s="88" t="s">
        <v>88</v>
      </c>
    </row>
    <row r="253" ht="22.5" customHeight="1">
      <c r="A253" s="2" t="s">
        <v>89</v>
      </c>
      <c r="B253" s="2" t="s">
        <v>90</v>
      </c>
      <c r="C253" s="2" t="s">
        <v>91</v>
      </c>
      <c r="D253" s="2" t="s">
        <v>92</v>
      </c>
      <c r="E253" s="2" t="s">
        <v>5</v>
      </c>
      <c r="F253" s="90" t="s">
        <v>93</v>
      </c>
      <c r="G253" s="2" t="s">
        <v>94</v>
      </c>
      <c r="H253" s="90" t="s">
        <v>46</v>
      </c>
      <c r="I253" s="4" t="s">
        <v>102</v>
      </c>
      <c r="J253" s="91"/>
      <c r="K253" s="2" t="s">
        <v>96</v>
      </c>
      <c r="L253" s="2" t="s">
        <v>90</v>
      </c>
      <c r="M253" s="2" t="s">
        <v>91</v>
      </c>
      <c r="N253" s="2" t="s">
        <v>92</v>
      </c>
      <c r="O253" s="2" t="s">
        <v>5</v>
      </c>
      <c r="P253" s="90" t="s">
        <v>93</v>
      </c>
      <c r="Q253" s="2" t="s">
        <v>94</v>
      </c>
      <c r="R253" s="90" t="s">
        <v>46</v>
      </c>
      <c r="S253" s="4" t="s">
        <v>102</v>
      </c>
      <c r="U253" s="2" t="s">
        <v>97</v>
      </c>
      <c r="V253" s="2" t="s">
        <v>98</v>
      </c>
      <c r="W253" s="2" t="s">
        <v>99</v>
      </c>
      <c r="X253" s="2" t="s">
        <v>100</v>
      </c>
      <c r="Y253" s="2" t="s">
        <v>101</v>
      </c>
    </row>
    <row r="254" ht="22.5" customHeight="1">
      <c r="A254" s="10" t="s">
        <v>11</v>
      </c>
      <c r="G254" s="93" t="str">
        <f>IFERROR(__xludf.DUMMYFUNCTION("IFERROR(SUM(SPLIT(J251, ""-"")))"),"")</f>
        <v/>
      </c>
      <c r="H254" s="93" t="str">
        <f>IFERROR(__xludf.DUMMYFUNCTION("IFERROR(INDEX(SPLIT($J251, ""-""), 0, 1))"),"")</f>
        <v/>
      </c>
      <c r="J254" s="91"/>
      <c r="K254" s="10" t="s">
        <v>16</v>
      </c>
      <c r="Q254" s="93" t="str">
        <f>IFERROR(__xludf.DUMMYFUNCTION("IFERROR(SUM(SPLIT(J251, ""-"")))"),"")</f>
        <v/>
      </c>
      <c r="R254" s="93" t="str">
        <f>IFERROR(__xludf.DUMMYFUNCTION("IFERROR(INDEX(SPLIT($J251, ""-""), 0, 2))"),"")</f>
        <v/>
      </c>
      <c r="U254" s="94"/>
      <c r="V254" s="94"/>
      <c r="W254" s="94"/>
      <c r="X254" s="94"/>
      <c r="Y254" s="94"/>
    </row>
    <row r="255" ht="22.5" customHeight="1">
      <c r="A255" s="10" t="s">
        <v>20</v>
      </c>
      <c r="G255" s="95" t="str">
        <f>IFERROR(__xludf.DUMMYFUNCTION("IFERROR(SUM(SPLIT(J251, ""-"")))"),"")</f>
        <v/>
      </c>
      <c r="H255" s="95" t="str">
        <f>IFERROR(__xludf.DUMMYFUNCTION("IFERROR(INDEX(SPLIT($J251, ""-""), 0, 1))"),"")</f>
        <v/>
      </c>
      <c r="J255" s="91"/>
      <c r="K255" s="10" t="s">
        <v>22</v>
      </c>
      <c r="Q255" s="96" t="str">
        <f>IFERROR(__xludf.DUMMYFUNCTION("IFERROR(SUM(SPLIT(J251, ""-"")))"),"")</f>
        <v/>
      </c>
      <c r="R255" s="96" t="str">
        <f>IFERROR(__xludf.DUMMYFUNCTION("IFERROR(INDEX(SPLIT($J251, ""-""), 0, 2))"),"")</f>
        <v/>
      </c>
    </row>
    <row r="256">
      <c r="J256" s="91"/>
    </row>
    <row r="257">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row>
    <row r="258">
      <c r="A258" s="103">
        <v>36.0</v>
      </c>
      <c r="B258" s="104"/>
      <c r="C258" s="104"/>
      <c r="D258" s="104"/>
      <c r="E258" s="104"/>
      <c r="F258" s="104"/>
      <c r="G258" s="104"/>
      <c r="H258" s="104"/>
      <c r="I258" s="104"/>
      <c r="J258" s="105" t="s">
        <v>87</v>
      </c>
      <c r="K258" s="104"/>
      <c r="L258" s="104"/>
      <c r="M258" s="104"/>
      <c r="N258" s="104"/>
      <c r="O258" s="104"/>
      <c r="P258" s="104"/>
      <c r="Q258" s="104"/>
      <c r="R258" s="104"/>
      <c r="S258" s="104"/>
      <c r="T258" s="104"/>
      <c r="U258" s="104"/>
      <c r="V258" s="104"/>
      <c r="W258" s="104"/>
      <c r="X258" s="104"/>
      <c r="Y258" s="104"/>
    </row>
    <row r="259">
      <c r="A259" s="104"/>
      <c r="B259" s="104"/>
      <c r="C259" s="104"/>
      <c r="D259" s="104"/>
      <c r="E259" s="104"/>
      <c r="F259" s="104"/>
      <c r="G259" s="104"/>
      <c r="H259" s="104"/>
      <c r="I259" s="104"/>
      <c r="J259" s="112"/>
      <c r="K259" s="104"/>
      <c r="L259" s="104"/>
      <c r="M259" s="104"/>
      <c r="N259" s="104"/>
      <c r="O259" s="104"/>
      <c r="P259" s="104"/>
      <c r="Q259" s="104"/>
      <c r="R259" s="104"/>
      <c r="S259" s="104"/>
      <c r="T259" s="104"/>
      <c r="U259" s="104"/>
      <c r="V259" s="104"/>
      <c r="W259" s="104"/>
      <c r="X259" s="104"/>
      <c r="Y259" s="104"/>
    </row>
    <row r="260">
      <c r="A260" s="104"/>
      <c r="B260" s="104"/>
      <c r="C260" s="104"/>
      <c r="D260" s="104"/>
      <c r="E260" s="104"/>
      <c r="F260" s="106"/>
      <c r="G260" s="104"/>
      <c r="H260" s="106"/>
      <c r="I260" s="104"/>
      <c r="J260" s="104"/>
      <c r="K260" s="104"/>
      <c r="L260" s="104"/>
      <c r="M260" s="104"/>
      <c r="N260" s="104"/>
      <c r="O260" s="104"/>
      <c r="P260" s="106"/>
      <c r="Q260" s="104"/>
      <c r="R260" s="106"/>
      <c r="S260" s="104"/>
      <c r="T260" s="104"/>
      <c r="U260" s="104"/>
      <c r="V260" s="88" t="s">
        <v>88</v>
      </c>
      <c r="W260" s="104"/>
      <c r="X260" s="104"/>
      <c r="Y260" s="104"/>
    </row>
    <row r="261" ht="22.5" customHeight="1">
      <c r="A261" s="2" t="s">
        <v>89</v>
      </c>
      <c r="B261" s="2" t="s">
        <v>90</v>
      </c>
      <c r="C261" s="2" t="s">
        <v>91</v>
      </c>
      <c r="D261" s="2" t="s">
        <v>92</v>
      </c>
      <c r="E261" s="2" t="s">
        <v>5</v>
      </c>
      <c r="F261" s="90" t="s">
        <v>93</v>
      </c>
      <c r="G261" s="2" t="s">
        <v>94</v>
      </c>
      <c r="H261" s="90" t="s">
        <v>46</v>
      </c>
      <c r="I261" s="108" t="s">
        <v>102</v>
      </c>
      <c r="J261" s="104"/>
      <c r="K261" s="2" t="s">
        <v>96</v>
      </c>
      <c r="L261" s="2" t="s">
        <v>90</v>
      </c>
      <c r="M261" s="2" t="s">
        <v>91</v>
      </c>
      <c r="N261" s="2" t="s">
        <v>92</v>
      </c>
      <c r="O261" s="2" t="s">
        <v>5</v>
      </c>
      <c r="P261" s="90" t="s">
        <v>93</v>
      </c>
      <c r="Q261" s="2" t="s">
        <v>94</v>
      </c>
      <c r="R261" s="90" t="s">
        <v>46</v>
      </c>
      <c r="S261" s="108" t="s">
        <v>102</v>
      </c>
      <c r="T261" s="104"/>
      <c r="U261" s="2" t="s">
        <v>97</v>
      </c>
      <c r="V261" s="2" t="s">
        <v>98</v>
      </c>
      <c r="W261" s="2" t="s">
        <v>99</v>
      </c>
      <c r="X261" s="2" t="s">
        <v>100</v>
      </c>
      <c r="Y261" s="2" t="s">
        <v>101</v>
      </c>
    </row>
    <row r="262" ht="22.5" customHeight="1">
      <c r="A262" s="10" t="s">
        <v>24</v>
      </c>
      <c r="G262" s="93" t="str">
        <f>IFERROR(__xludf.DUMMYFUNCTION("IFERROR(SUM(SPLIT(J259, ""-"")))"),"")</f>
        <v/>
      </c>
      <c r="H262" s="93" t="str">
        <f>IFERROR(__xludf.DUMMYFUNCTION("IFERROR(INDEX(SPLIT($J259, ""-""), 0, 1))"),"")</f>
        <v/>
      </c>
      <c r="J262" s="91"/>
      <c r="K262" s="10" t="s">
        <v>26</v>
      </c>
      <c r="Q262" s="93" t="str">
        <f>IFERROR(__xludf.DUMMYFUNCTION("IFERROR(SUM(SPLIT(J259, ""-"")))"),"")</f>
        <v/>
      </c>
      <c r="R262" s="93" t="str">
        <f>IFERROR(__xludf.DUMMYFUNCTION("IFERROR(INDEX(SPLIT($J259, ""-""), 0, 2))"),"")</f>
        <v/>
      </c>
      <c r="S262" s="109"/>
      <c r="T262" s="104"/>
      <c r="U262" s="94"/>
      <c r="V262" s="94"/>
      <c r="W262" s="94"/>
      <c r="X262" s="94"/>
      <c r="Y262" s="94"/>
    </row>
    <row r="263" ht="22.5" customHeight="1">
      <c r="A263" s="10" t="s">
        <v>18</v>
      </c>
      <c r="G263" s="95" t="str">
        <f>IFERROR(__xludf.DUMMYFUNCTION("IFERROR(SUM(SPLIT(J259, ""-"")))"),"")</f>
        <v/>
      </c>
      <c r="H263" s="95" t="str">
        <f>IFERROR(__xludf.DUMMYFUNCTION("IFERROR(INDEX(SPLIT($J259, ""-""), 0, 1))"),"")</f>
        <v/>
      </c>
      <c r="J263" s="91"/>
      <c r="K263" s="10" t="s">
        <v>12</v>
      </c>
      <c r="Q263" s="96" t="str">
        <f>IFERROR(__xludf.DUMMYFUNCTION("IFERROR(SUM(SPLIT(J259, ""-"")))"),"")</f>
        <v/>
      </c>
      <c r="R263" s="96" t="str">
        <f>IFERROR(__xludf.DUMMYFUNCTION("IFERROR(INDEX(SPLIT($J259, ""-""), 0, 2))"),"")</f>
        <v/>
      </c>
      <c r="S263" s="110"/>
      <c r="T263" s="104"/>
      <c r="U263" s="104"/>
      <c r="V263" s="104"/>
      <c r="W263" s="104"/>
      <c r="X263" s="104"/>
      <c r="Y263" s="104"/>
    </row>
    <row r="264">
      <c r="J264" s="91"/>
    </row>
    <row r="265">
      <c r="A265" s="113"/>
      <c r="B265" s="113"/>
      <c r="C265" s="113"/>
      <c r="D265" s="113"/>
      <c r="E265" s="113"/>
      <c r="F265" s="113"/>
      <c r="G265" s="113"/>
      <c r="H265" s="113"/>
      <c r="I265" s="113"/>
      <c r="J265" s="114" t="s">
        <v>114</v>
      </c>
      <c r="K265" s="113"/>
      <c r="L265" s="113"/>
      <c r="M265" s="80" t="s">
        <v>85</v>
      </c>
      <c r="N265" s="81"/>
      <c r="O265" s="80" t="s">
        <v>12</v>
      </c>
      <c r="P265" s="113"/>
      <c r="Q265" s="113"/>
      <c r="R265" s="113"/>
      <c r="S265" s="113"/>
      <c r="T265" s="114" t="s">
        <v>114</v>
      </c>
      <c r="U265" s="113"/>
      <c r="V265" s="113"/>
      <c r="W265" s="113"/>
      <c r="X265" s="113"/>
      <c r="Y265" s="113"/>
    </row>
    <row r="266">
      <c r="A266" s="115">
        <v>37.0</v>
      </c>
      <c r="B266" s="104"/>
      <c r="C266" s="104"/>
      <c r="D266" s="104"/>
      <c r="E266" s="104"/>
      <c r="F266" s="104"/>
      <c r="G266" s="104"/>
      <c r="H266" s="104"/>
      <c r="I266" s="104"/>
      <c r="J266" s="105" t="s">
        <v>87</v>
      </c>
      <c r="K266" s="104"/>
      <c r="L266" s="104"/>
      <c r="M266" s="104"/>
      <c r="N266" s="104"/>
      <c r="O266" s="104"/>
      <c r="P266" s="104"/>
      <c r="Q266" s="104"/>
      <c r="R266" s="104"/>
      <c r="S266" s="104"/>
      <c r="T266" s="104"/>
      <c r="U266" s="104"/>
      <c r="V266" s="104"/>
      <c r="W266" s="104"/>
      <c r="X266" s="104"/>
      <c r="Y266" s="104"/>
    </row>
    <row r="267">
      <c r="A267" s="104"/>
      <c r="B267" s="104"/>
      <c r="C267" s="104"/>
      <c r="D267" s="104"/>
      <c r="E267" s="104"/>
      <c r="F267" s="104"/>
      <c r="G267" s="104"/>
      <c r="H267" s="104"/>
      <c r="I267" s="104"/>
      <c r="J267" s="116"/>
      <c r="K267" s="104"/>
      <c r="L267" s="104"/>
      <c r="M267" s="104"/>
      <c r="N267" s="104"/>
      <c r="O267" s="104"/>
      <c r="P267" s="104"/>
      <c r="Q267" s="104"/>
      <c r="R267" s="104"/>
      <c r="S267" s="104"/>
      <c r="T267" s="104"/>
      <c r="U267" s="104"/>
      <c r="V267" s="88" t="s">
        <v>88</v>
      </c>
      <c r="W267" s="104"/>
      <c r="X267" s="104"/>
      <c r="Y267" s="104"/>
    </row>
    <row r="268" ht="22.5" customHeight="1">
      <c r="A268" s="108" t="s">
        <v>89</v>
      </c>
      <c r="B268" s="108" t="s">
        <v>90</v>
      </c>
      <c r="C268" s="108" t="s">
        <v>91</v>
      </c>
      <c r="D268" s="108" t="s">
        <v>92</v>
      </c>
      <c r="E268" s="108" t="s">
        <v>5</v>
      </c>
      <c r="F268" s="117" t="s">
        <v>93</v>
      </c>
      <c r="G268" s="108" t="s">
        <v>94</v>
      </c>
      <c r="H268" s="117" t="s">
        <v>46</v>
      </c>
      <c r="I268" s="108" t="s">
        <v>95</v>
      </c>
      <c r="J268" s="104"/>
      <c r="K268" s="108" t="s">
        <v>96</v>
      </c>
      <c r="L268" s="108" t="s">
        <v>90</v>
      </c>
      <c r="M268" s="108" t="s">
        <v>91</v>
      </c>
      <c r="N268" s="108" t="s">
        <v>92</v>
      </c>
      <c r="O268" s="108" t="s">
        <v>5</v>
      </c>
      <c r="P268" s="117" t="s">
        <v>93</v>
      </c>
      <c r="Q268" s="108" t="s">
        <v>94</v>
      </c>
      <c r="R268" s="117" t="s">
        <v>46</v>
      </c>
      <c r="S268" s="108" t="s">
        <v>95</v>
      </c>
      <c r="T268" s="104"/>
      <c r="U268" s="2" t="s">
        <v>97</v>
      </c>
      <c r="V268" s="2" t="s">
        <v>98</v>
      </c>
      <c r="W268" s="2" t="s">
        <v>99</v>
      </c>
      <c r="X268" s="2" t="s">
        <v>100</v>
      </c>
      <c r="Y268" s="2" t="s">
        <v>101</v>
      </c>
    </row>
    <row r="269" ht="22.5" customHeight="1">
      <c r="A269" s="10" t="s">
        <v>26</v>
      </c>
      <c r="G269" s="93" t="str">
        <f>IFERROR(__xludf.DUMMYFUNCTION("IFERROR(SUM(SPLIT(J267, ""-"")))"),"")</f>
        <v/>
      </c>
      <c r="H269" s="93" t="str">
        <f>IFERROR(__xludf.DUMMYFUNCTION("IFERROR(INDEX(SPLIT($J267, ""-""), 0, 1))"),"")</f>
        <v/>
      </c>
      <c r="J269" s="91"/>
      <c r="K269" s="10" t="s">
        <v>14</v>
      </c>
      <c r="Q269" s="93" t="str">
        <f>IFERROR(__xludf.DUMMYFUNCTION("IFERROR(SUM(SPLIT(J267, ""-"")))"),"")</f>
        <v/>
      </c>
      <c r="R269" s="93" t="str">
        <f>IFERROR(__xludf.DUMMYFUNCTION("IFERROR(INDEX(SPLIT($J267, ""-""), 0, 2))"),"")</f>
        <v/>
      </c>
      <c r="S269" s="118"/>
      <c r="T269" s="104"/>
      <c r="U269" s="94"/>
      <c r="V269" s="94"/>
      <c r="W269" s="94"/>
      <c r="X269" s="94"/>
      <c r="Y269" s="94"/>
    </row>
    <row r="270" ht="22.5" customHeight="1">
      <c r="A270" s="10" t="s">
        <v>31</v>
      </c>
      <c r="G270" s="95" t="str">
        <f>IFERROR(__xludf.DUMMYFUNCTION("IFERROR(SUM(SPLIT(J267, ""-"")))"),"")</f>
        <v/>
      </c>
      <c r="H270" s="95" t="str">
        <f>IFERROR(__xludf.DUMMYFUNCTION("IFERROR(INDEX(SPLIT($J267, ""-""), 0, 1))"),"")</f>
        <v/>
      </c>
      <c r="J270" s="91"/>
      <c r="K270" s="10" t="s">
        <v>20</v>
      </c>
      <c r="Q270" s="96" t="str">
        <f>IFERROR(__xludf.DUMMYFUNCTION("IFERROR(SUM(SPLIT(J267, ""-"")))"),"")</f>
        <v/>
      </c>
      <c r="R270" s="96" t="str">
        <f>IFERROR(__xludf.DUMMYFUNCTION("IFERROR(INDEX(SPLIT($J267, ""-""), 0, 2))"),"")</f>
        <v/>
      </c>
      <c r="S270" s="119"/>
      <c r="T270" s="104"/>
      <c r="U270" s="104"/>
      <c r="V270" s="104"/>
      <c r="W270" s="104"/>
      <c r="X270" s="104"/>
      <c r="Y270" s="104"/>
    </row>
    <row r="27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row>
    <row r="272">
      <c r="A272" s="115">
        <v>38.0</v>
      </c>
      <c r="B272" s="104"/>
      <c r="C272" s="104"/>
      <c r="D272" s="104"/>
      <c r="E272" s="104"/>
      <c r="F272" s="85" t="s">
        <v>86</v>
      </c>
      <c r="G272" s="104"/>
      <c r="H272" s="104"/>
      <c r="I272" s="104"/>
      <c r="J272" s="105" t="s">
        <v>87</v>
      </c>
      <c r="K272" s="104"/>
      <c r="L272" s="104"/>
      <c r="M272" s="104"/>
      <c r="N272" s="104"/>
      <c r="O272" s="104"/>
      <c r="P272" s="104"/>
      <c r="Q272" s="104"/>
      <c r="R272" s="104"/>
      <c r="S272" s="104"/>
      <c r="T272" s="104"/>
      <c r="U272" s="104"/>
      <c r="V272" s="104"/>
      <c r="W272" s="104"/>
      <c r="X272" s="104"/>
      <c r="Y272" s="104"/>
    </row>
    <row r="273">
      <c r="A273" s="104"/>
      <c r="B273" s="104"/>
      <c r="C273" s="104"/>
      <c r="D273" s="104"/>
      <c r="E273" s="104"/>
      <c r="F273" s="104"/>
      <c r="G273" s="104"/>
      <c r="H273" s="104"/>
      <c r="I273" s="104"/>
      <c r="J273" s="112"/>
      <c r="K273" s="104"/>
      <c r="L273" s="104"/>
      <c r="M273" s="104"/>
      <c r="N273" s="104"/>
      <c r="O273" s="104"/>
      <c r="P273" s="104"/>
      <c r="Q273" s="104"/>
      <c r="R273" s="104"/>
      <c r="S273" s="104"/>
      <c r="T273" s="104"/>
      <c r="U273" s="104"/>
      <c r="V273" s="104"/>
      <c r="W273" s="104"/>
      <c r="X273" s="104"/>
      <c r="Y273" s="104"/>
    </row>
    <row r="274">
      <c r="A274" s="104"/>
      <c r="B274" s="104"/>
      <c r="C274" s="104"/>
      <c r="D274" s="104"/>
      <c r="E274" s="104"/>
      <c r="F274" s="106"/>
      <c r="G274" s="104"/>
      <c r="H274" s="106"/>
      <c r="I274" s="104"/>
      <c r="J274" s="104"/>
      <c r="K274" s="104"/>
      <c r="L274" s="104"/>
      <c r="M274" s="104"/>
      <c r="N274" s="104"/>
      <c r="O274" s="104"/>
      <c r="P274" s="106"/>
      <c r="Q274" s="104"/>
      <c r="R274" s="106"/>
      <c r="S274" s="104"/>
      <c r="T274" s="104"/>
      <c r="U274" s="104"/>
      <c r="V274" s="88" t="s">
        <v>88</v>
      </c>
      <c r="W274" s="104"/>
      <c r="X274" s="104"/>
      <c r="Y274" s="104"/>
    </row>
    <row r="275" ht="22.5" customHeight="1">
      <c r="A275" s="108" t="s">
        <v>89</v>
      </c>
      <c r="B275" s="108" t="s">
        <v>90</v>
      </c>
      <c r="C275" s="108" t="s">
        <v>91</v>
      </c>
      <c r="D275" s="108" t="s">
        <v>92</v>
      </c>
      <c r="E275" s="108" t="s">
        <v>5</v>
      </c>
      <c r="F275" s="117" t="s">
        <v>93</v>
      </c>
      <c r="G275" s="108" t="s">
        <v>94</v>
      </c>
      <c r="H275" s="117" t="s">
        <v>46</v>
      </c>
      <c r="I275" s="108" t="s">
        <v>102</v>
      </c>
      <c r="J275" s="104"/>
      <c r="K275" s="108" t="s">
        <v>96</v>
      </c>
      <c r="L275" s="108" t="s">
        <v>90</v>
      </c>
      <c r="M275" s="108" t="s">
        <v>91</v>
      </c>
      <c r="N275" s="108" t="s">
        <v>92</v>
      </c>
      <c r="O275" s="108" t="s">
        <v>5</v>
      </c>
      <c r="P275" s="117" t="s">
        <v>93</v>
      </c>
      <c r="Q275" s="108" t="s">
        <v>94</v>
      </c>
      <c r="R275" s="117" t="s">
        <v>46</v>
      </c>
      <c r="S275" s="108" t="s">
        <v>102</v>
      </c>
      <c r="T275" s="104"/>
      <c r="U275" s="2" t="s">
        <v>97</v>
      </c>
      <c r="V275" s="2" t="s">
        <v>98</v>
      </c>
      <c r="W275" s="2" t="s">
        <v>99</v>
      </c>
      <c r="X275" s="2" t="s">
        <v>100</v>
      </c>
      <c r="Y275" s="2" t="s">
        <v>101</v>
      </c>
    </row>
    <row r="276" ht="22.5" customHeight="1">
      <c r="A276" s="10" t="s">
        <v>30</v>
      </c>
      <c r="G276" s="93" t="str">
        <f>IFERROR(__xludf.DUMMYFUNCTION("IFERROR(SUM(SPLIT(J273, ""-"")))"),"")</f>
        <v/>
      </c>
      <c r="H276" s="93" t="str">
        <f>IFERROR(__xludf.DUMMYFUNCTION("IFERROR(INDEX(SPLIT($J273, ""-""), 0, 1))"),"")</f>
        <v/>
      </c>
      <c r="J276" s="91"/>
      <c r="K276" s="10" t="s">
        <v>16</v>
      </c>
      <c r="Q276" s="93" t="str">
        <f>IFERROR(__xludf.DUMMYFUNCTION("IFERROR(SUM(SPLIT(J273, ""-"")))"),"")</f>
        <v/>
      </c>
      <c r="R276" s="93" t="str">
        <f>IFERROR(__xludf.DUMMYFUNCTION("IFERROR(INDEX(SPLIT($J273, ""-""), 0, 2))"),"")</f>
        <v/>
      </c>
      <c r="S276" s="109"/>
      <c r="T276" s="104"/>
      <c r="U276" s="94"/>
      <c r="V276" s="94"/>
      <c r="W276" s="94"/>
      <c r="X276" s="94"/>
      <c r="Y276" s="94"/>
    </row>
    <row r="277" ht="22.5" customHeight="1">
      <c r="A277" s="10" t="s">
        <v>22</v>
      </c>
      <c r="G277" s="95" t="str">
        <f>IFERROR(__xludf.DUMMYFUNCTION("IFERROR(SUM(SPLIT(J273, ""-"")))"),"")</f>
        <v/>
      </c>
      <c r="H277" s="95" t="str">
        <f>IFERROR(__xludf.DUMMYFUNCTION("IFERROR(INDEX(SPLIT($J273, ""-""), 0, 1))"),"")</f>
        <v/>
      </c>
      <c r="J277" s="91"/>
      <c r="K277" s="10" t="s">
        <v>18</v>
      </c>
      <c r="Q277" s="96" t="str">
        <f>IFERROR(__xludf.DUMMYFUNCTION("IFERROR(SUM(SPLIT(J273, ""-"")))"),"")</f>
        <v/>
      </c>
      <c r="R277" s="96" t="str">
        <f>IFERROR(__xludf.DUMMYFUNCTION("IFERROR(INDEX(SPLIT($J273, ""-""), 0, 2))"),"")</f>
        <v/>
      </c>
      <c r="S277" s="110"/>
      <c r="T277" s="104"/>
      <c r="U277" s="104"/>
      <c r="V277" s="104"/>
      <c r="W277" s="104"/>
      <c r="X277" s="104"/>
      <c r="Y277" s="104"/>
    </row>
    <row r="278">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row>
    <row r="279">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row>
    <row r="280">
      <c r="A280" s="115">
        <v>39.0</v>
      </c>
      <c r="B280" s="104"/>
      <c r="C280" s="104"/>
      <c r="D280" s="104"/>
      <c r="E280" s="104"/>
      <c r="F280" s="104"/>
      <c r="G280" s="104"/>
      <c r="H280" s="104"/>
      <c r="I280" s="104"/>
      <c r="J280" s="105" t="s">
        <v>87</v>
      </c>
      <c r="K280" s="104"/>
      <c r="L280" s="104"/>
      <c r="M280" s="104"/>
      <c r="N280" s="104"/>
      <c r="O280" s="104"/>
      <c r="P280" s="104"/>
      <c r="Q280" s="104"/>
      <c r="R280" s="104"/>
      <c r="S280" s="104"/>
      <c r="T280" s="104"/>
      <c r="U280" s="104"/>
      <c r="V280" s="104"/>
      <c r="W280" s="104"/>
      <c r="X280" s="104"/>
      <c r="Y280" s="104"/>
    </row>
    <row r="281">
      <c r="A281" s="104"/>
      <c r="B281" s="104"/>
      <c r="C281" s="104"/>
      <c r="D281" s="104"/>
      <c r="E281" s="104"/>
      <c r="F281" s="104"/>
      <c r="G281" s="104"/>
      <c r="H281" s="104"/>
      <c r="I281" s="104"/>
      <c r="J281" s="112"/>
      <c r="K281" s="104"/>
      <c r="L281" s="104"/>
      <c r="M281" s="104"/>
      <c r="N281" s="104"/>
      <c r="O281" s="104"/>
      <c r="P281" s="104"/>
      <c r="Q281" s="104"/>
      <c r="R281" s="104"/>
      <c r="S281" s="104"/>
      <c r="T281" s="104"/>
      <c r="U281" s="104"/>
      <c r="V281" s="104"/>
      <c r="W281" s="104"/>
      <c r="X281" s="104"/>
      <c r="Y281" s="104"/>
    </row>
    <row r="282">
      <c r="A282" s="104"/>
      <c r="B282" s="104"/>
      <c r="C282" s="104"/>
      <c r="D282" s="104"/>
      <c r="E282" s="104"/>
      <c r="F282" s="106"/>
      <c r="G282" s="104"/>
      <c r="H282" s="106"/>
      <c r="I282" s="104"/>
      <c r="J282" s="104"/>
      <c r="K282" s="104"/>
      <c r="L282" s="104"/>
      <c r="M282" s="104"/>
      <c r="N282" s="104"/>
      <c r="O282" s="104"/>
      <c r="P282" s="106"/>
      <c r="Q282" s="104"/>
      <c r="R282" s="106"/>
      <c r="S282" s="104"/>
      <c r="T282" s="104"/>
      <c r="U282" s="104"/>
      <c r="V282" s="88" t="s">
        <v>88</v>
      </c>
      <c r="W282" s="104"/>
      <c r="X282" s="104"/>
      <c r="Y282" s="104"/>
    </row>
    <row r="283" ht="22.5" customHeight="1">
      <c r="A283" s="108" t="s">
        <v>89</v>
      </c>
      <c r="B283" s="108" t="s">
        <v>90</v>
      </c>
      <c r="C283" s="108" t="s">
        <v>91</v>
      </c>
      <c r="D283" s="108" t="s">
        <v>92</v>
      </c>
      <c r="E283" s="108" t="s">
        <v>5</v>
      </c>
      <c r="F283" s="117" t="s">
        <v>93</v>
      </c>
      <c r="G283" s="108" t="s">
        <v>94</v>
      </c>
      <c r="H283" s="117" t="s">
        <v>46</v>
      </c>
      <c r="I283" s="108" t="s">
        <v>102</v>
      </c>
      <c r="J283" s="104"/>
      <c r="K283" s="108" t="s">
        <v>96</v>
      </c>
      <c r="L283" s="108" t="s">
        <v>90</v>
      </c>
      <c r="M283" s="108" t="s">
        <v>91</v>
      </c>
      <c r="N283" s="108" t="s">
        <v>92</v>
      </c>
      <c r="O283" s="108" t="s">
        <v>5</v>
      </c>
      <c r="P283" s="117" t="s">
        <v>93</v>
      </c>
      <c r="Q283" s="108" t="s">
        <v>94</v>
      </c>
      <c r="R283" s="117" t="s">
        <v>46</v>
      </c>
      <c r="S283" s="108" t="s">
        <v>102</v>
      </c>
      <c r="T283" s="104"/>
      <c r="U283" s="2" t="s">
        <v>97</v>
      </c>
      <c r="V283" s="2" t="s">
        <v>98</v>
      </c>
      <c r="W283" s="2" t="s">
        <v>99</v>
      </c>
      <c r="X283" s="2" t="s">
        <v>100</v>
      </c>
      <c r="Y283" s="2" t="s">
        <v>101</v>
      </c>
    </row>
    <row r="284" ht="22.5" customHeight="1">
      <c r="A284" s="10" t="s">
        <v>11</v>
      </c>
      <c r="G284" s="93" t="str">
        <f>IFERROR(__xludf.DUMMYFUNCTION("IFERROR(SUM(SPLIT(J281, ""-"")))"),"")</f>
        <v/>
      </c>
      <c r="H284" s="93" t="str">
        <f>IFERROR(__xludf.DUMMYFUNCTION("IFERROR(INDEX(SPLIT($J281, ""-""), 0, 1))"),"")</f>
        <v/>
      </c>
      <c r="J284" s="91"/>
      <c r="K284" s="10" t="s">
        <v>10</v>
      </c>
      <c r="Q284" s="93" t="str">
        <f>IFERROR(__xludf.DUMMYFUNCTION("IFERROR(SUM(SPLIT(J281, ""-"")))"),"")</f>
        <v/>
      </c>
      <c r="R284" s="93" t="str">
        <f>IFERROR(__xludf.DUMMYFUNCTION("IFERROR(INDEX(SPLIT($J281, ""-""), 0, 2))"),"")</f>
        <v/>
      </c>
      <c r="S284" s="109"/>
      <c r="T284" s="104"/>
      <c r="U284" s="94"/>
      <c r="V284" s="94"/>
      <c r="W284" s="94"/>
      <c r="X284" s="94"/>
      <c r="Y284" s="94"/>
    </row>
    <row r="285" ht="22.5" customHeight="1">
      <c r="A285" s="10" t="s">
        <v>28</v>
      </c>
      <c r="G285" s="95" t="str">
        <f>IFERROR(__xludf.DUMMYFUNCTION("IFERROR(SUM(SPLIT(J281, ""-"")))"),"")</f>
        <v/>
      </c>
      <c r="H285" s="95" t="str">
        <f>IFERROR(__xludf.DUMMYFUNCTION("IFERROR(INDEX(SPLIT($J281, ""-""), 0, 1))"),"")</f>
        <v/>
      </c>
      <c r="J285" s="91"/>
      <c r="K285" s="10" t="s">
        <v>24</v>
      </c>
      <c r="Q285" s="96" t="str">
        <f>IFERROR(__xludf.DUMMYFUNCTION("IFERROR(SUM(SPLIT(J281, ""-"")))"),"")</f>
        <v/>
      </c>
      <c r="R285" s="96" t="str">
        <f>IFERROR(__xludf.DUMMYFUNCTION("IFERROR(INDEX(SPLIT($J281, ""-""), 0, 2))"),"")</f>
        <v/>
      </c>
      <c r="S285" s="110"/>
      <c r="T285" s="104"/>
      <c r="U285" s="104"/>
      <c r="V285" s="104"/>
      <c r="W285" s="104"/>
      <c r="X285" s="104"/>
      <c r="Y285" s="104"/>
    </row>
    <row r="286">
      <c r="J286" s="91"/>
    </row>
    <row r="287">
      <c r="J287" s="91"/>
    </row>
    <row r="288">
      <c r="J288" s="91"/>
    </row>
    <row r="289">
      <c r="J289" s="91"/>
    </row>
    <row r="290">
      <c r="J290" s="91"/>
    </row>
    <row r="291">
      <c r="J291" s="91"/>
    </row>
    <row r="292">
      <c r="J292" s="91"/>
    </row>
    <row r="293">
      <c r="J293" s="91"/>
    </row>
    <row r="294">
      <c r="J294" s="91"/>
    </row>
    <row r="295">
      <c r="J295" s="91"/>
    </row>
    <row r="296">
      <c r="J296" s="91"/>
    </row>
    <row r="297">
      <c r="J297" s="91"/>
    </row>
    <row r="298">
      <c r="J298" s="91"/>
    </row>
    <row r="299">
      <c r="J299" s="91"/>
    </row>
    <row r="300">
      <c r="J300" s="91"/>
    </row>
    <row r="301">
      <c r="J301" s="91"/>
    </row>
    <row r="302">
      <c r="J302" s="91"/>
    </row>
    <row r="303">
      <c r="J303" s="91"/>
    </row>
    <row r="304">
      <c r="J304" s="91"/>
    </row>
    <row r="305">
      <c r="J305" s="91"/>
    </row>
    <row r="306">
      <c r="J306" s="91"/>
    </row>
    <row r="307">
      <c r="J307" s="91"/>
    </row>
    <row r="308">
      <c r="J308" s="91"/>
    </row>
    <row r="309">
      <c r="J309" s="91"/>
    </row>
    <row r="310">
      <c r="J310" s="91"/>
    </row>
    <row r="311">
      <c r="J311" s="91"/>
    </row>
    <row r="312">
      <c r="J312" s="91"/>
    </row>
    <row r="313">
      <c r="J313" s="91"/>
    </row>
    <row r="314">
      <c r="J314" s="91"/>
    </row>
    <row r="315">
      <c r="J315" s="91"/>
    </row>
    <row r="316">
      <c r="J316" s="91"/>
    </row>
    <row r="317">
      <c r="J317" s="91"/>
    </row>
    <row r="318">
      <c r="J318" s="91"/>
    </row>
    <row r="319">
      <c r="J319" s="91"/>
    </row>
    <row r="320">
      <c r="J320" s="91"/>
    </row>
    <row r="321">
      <c r="J321" s="91"/>
    </row>
    <row r="322">
      <c r="J322" s="91"/>
    </row>
    <row r="323">
      <c r="J323" s="91"/>
    </row>
    <row r="324">
      <c r="J324" s="91"/>
    </row>
    <row r="325">
      <c r="J325" s="91"/>
    </row>
    <row r="326">
      <c r="J326" s="91"/>
    </row>
    <row r="327">
      <c r="J327" s="91"/>
    </row>
    <row r="328">
      <c r="J328" s="91"/>
    </row>
    <row r="329">
      <c r="J329" s="91"/>
    </row>
    <row r="330">
      <c r="J330" s="91"/>
    </row>
    <row r="331">
      <c r="J331" s="91"/>
    </row>
    <row r="332">
      <c r="J332" s="91"/>
    </row>
    <row r="333">
      <c r="J333" s="91"/>
    </row>
    <row r="334">
      <c r="J334" s="91"/>
    </row>
    <row r="335">
      <c r="J335" s="91"/>
    </row>
    <row r="336">
      <c r="J336" s="91"/>
    </row>
    <row r="337">
      <c r="J337" s="91"/>
    </row>
    <row r="338">
      <c r="J338" s="91"/>
    </row>
    <row r="339">
      <c r="J339" s="91"/>
    </row>
    <row r="340">
      <c r="J340" s="91"/>
    </row>
    <row r="341">
      <c r="J341" s="91"/>
    </row>
    <row r="342">
      <c r="J342" s="91"/>
    </row>
    <row r="343">
      <c r="J343" s="91"/>
    </row>
    <row r="344">
      <c r="J344" s="91"/>
    </row>
    <row r="345">
      <c r="J345" s="91"/>
    </row>
    <row r="346">
      <c r="J346" s="91"/>
    </row>
    <row r="347">
      <c r="J347" s="91"/>
    </row>
    <row r="348">
      <c r="J348" s="91"/>
    </row>
    <row r="349">
      <c r="J349" s="91"/>
    </row>
    <row r="350">
      <c r="J350" s="91"/>
    </row>
    <row r="351">
      <c r="J351" s="91"/>
    </row>
    <row r="352">
      <c r="J352" s="91"/>
    </row>
    <row r="353">
      <c r="J353" s="91"/>
    </row>
    <row r="354">
      <c r="J354" s="91"/>
    </row>
    <row r="355">
      <c r="J355" s="91"/>
    </row>
    <row r="356">
      <c r="J356" s="91"/>
    </row>
    <row r="357">
      <c r="J357" s="91"/>
    </row>
    <row r="358">
      <c r="J358" s="91"/>
    </row>
    <row r="359">
      <c r="J359" s="91"/>
    </row>
    <row r="360">
      <c r="J360" s="91"/>
    </row>
    <row r="361">
      <c r="J361" s="91"/>
    </row>
    <row r="362">
      <c r="J362" s="91"/>
    </row>
    <row r="363">
      <c r="J363" s="91"/>
    </row>
    <row r="364">
      <c r="J364" s="91"/>
    </row>
    <row r="365">
      <c r="J365" s="91"/>
    </row>
    <row r="366">
      <c r="J366" s="91"/>
    </row>
    <row r="367">
      <c r="J367" s="91"/>
    </row>
    <row r="368">
      <c r="J368" s="91"/>
    </row>
    <row r="369">
      <c r="J369" s="91"/>
    </row>
    <row r="370">
      <c r="J370" s="91"/>
    </row>
    <row r="371">
      <c r="J371" s="91"/>
    </row>
    <row r="372">
      <c r="J372" s="91"/>
    </row>
    <row r="373">
      <c r="J373" s="91"/>
    </row>
    <row r="374">
      <c r="J374" s="91"/>
    </row>
    <row r="375">
      <c r="J375" s="91"/>
    </row>
    <row r="376">
      <c r="J376" s="91"/>
    </row>
    <row r="377">
      <c r="J377" s="91"/>
    </row>
    <row r="378">
      <c r="J378" s="91"/>
    </row>
    <row r="379">
      <c r="J379" s="91"/>
    </row>
    <row r="380">
      <c r="J380" s="91"/>
    </row>
    <row r="381">
      <c r="J381" s="91"/>
    </row>
    <row r="382">
      <c r="J382" s="91"/>
    </row>
    <row r="383">
      <c r="J383" s="91"/>
    </row>
    <row r="384">
      <c r="J384" s="91"/>
    </row>
    <row r="385">
      <c r="J385" s="91"/>
    </row>
    <row r="386">
      <c r="J386" s="91"/>
    </row>
    <row r="387">
      <c r="J387" s="91"/>
    </row>
    <row r="388">
      <c r="J388" s="91"/>
    </row>
    <row r="389">
      <c r="J389" s="91"/>
    </row>
    <row r="390">
      <c r="J390" s="91"/>
    </row>
    <row r="391">
      <c r="J391" s="91"/>
    </row>
    <row r="392">
      <c r="J392" s="91"/>
    </row>
    <row r="393">
      <c r="J393" s="91"/>
    </row>
    <row r="394">
      <c r="J394" s="91"/>
    </row>
    <row r="395">
      <c r="J395" s="91"/>
    </row>
    <row r="396">
      <c r="J396" s="91"/>
    </row>
    <row r="397">
      <c r="J397" s="91"/>
    </row>
    <row r="398">
      <c r="J398" s="91"/>
    </row>
    <row r="399">
      <c r="J399" s="91"/>
    </row>
    <row r="400">
      <c r="J400" s="91"/>
    </row>
    <row r="401">
      <c r="J401" s="91"/>
    </row>
    <row r="402">
      <c r="J402" s="91"/>
    </row>
    <row r="403">
      <c r="J403" s="91"/>
    </row>
    <row r="404">
      <c r="J404" s="91"/>
    </row>
    <row r="405">
      <c r="J405" s="91"/>
    </row>
    <row r="406">
      <c r="J406" s="91"/>
    </row>
    <row r="407">
      <c r="J407" s="91"/>
    </row>
    <row r="408">
      <c r="J408" s="91"/>
    </row>
    <row r="409">
      <c r="J409" s="91"/>
    </row>
    <row r="410">
      <c r="J410" s="91"/>
    </row>
    <row r="411">
      <c r="J411" s="91"/>
    </row>
    <row r="412">
      <c r="J412" s="91"/>
    </row>
    <row r="413">
      <c r="J413" s="91"/>
    </row>
    <row r="414">
      <c r="J414" s="91"/>
    </row>
    <row r="415">
      <c r="J415" s="91"/>
    </row>
    <row r="416">
      <c r="J416" s="91"/>
    </row>
    <row r="417">
      <c r="J417" s="91"/>
    </row>
    <row r="418">
      <c r="J418" s="91"/>
    </row>
    <row r="419">
      <c r="J419" s="91"/>
    </row>
    <row r="420">
      <c r="J420" s="91"/>
    </row>
    <row r="421">
      <c r="J421" s="91"/>
    </row>
    <row r="422">
      <c r="J422" s="91"/>
    </row>
    <row r="423">
      <c r="J423" s="91"/>
    </row>
    <row r="424">
      <c r="J424" s="91"/>
    </row>
    <row r="425">
      <c r="J425" s="91"/>
    </row>
    <row r="426">
      <c r="J426" s="91"/>
    </row>
    <row r="427">
      <c r="J427" s="91"/>
    </row>
    <row r="428">
      <c r="J428" s="91"/>
    </row>
    <row r="429">
      <c r="J429" s="91"/>
    </row>
    <row r="430">
      <c r="J430" s="91"/>
    </row>
    <row r="431">
      <c r="J431" s="91"/>
    </row>
    <row r="432">
      <c r="J432" s="91"/>
    </row>
    <row r="433">
      <c r="J433" s="91"/>
    </row>
    <row r="434">
      <c r="J434" s="91"/>
    </row>
    <row r="435">
      <c r="J435" s="91"/>
    </row>
    <row r="436">
      <c r="J436" s="91"/>
    </row>
    <row r="437">
      <c r="J437" s="91"/>
    </row>
    <row r="438">
      <c r="J438" s="91"/>
    </row>
    <row r="439">
      <c r="J439" s="91"/>
    </row>
    <row r="440">
      <c r="J440" s="91"/>
    </row>
    <row r="441">
      <c r="J441" s="91"/>
    </row>
    <row r="442">
      <c r="J442" s="91"/>
    </row>
    <row r="443">
      <c r="J443" s="91"/>
    </row>
    <row r="444">
      <c r="J444" s="91"/>
    </row>
    <row r="445">
      <c r="J445" s="91"/>
    </row>
    <row r="446">
      <c r="J446" s="91"/>
    </row>
    <row r="447">
      <c r="J447" s="91"/>
    </row>
    <row r="448">
      <c r="J448" s="91"/>
    </row>
    <row r="449">
      <c r="J449" s="91"/>
    </row>
    <row r="450">
      <c r="J450" s="91"/>
    </row>
    <row r="451">
      <c r="J451" s="91"/>
    </row>
    <row r="452">
      <c r="J452" s="91"/>
    </row>
    <row r="453">
      <c r="J453" s="91"/>
    </row>
    <row r="454">
      <c r="J454" s="91"/>
    </row>
    <row r="455">
      <c r="J455" s="91"/>
    </row>
    <row r="456">
      <c r="J456" s="91"/>
    </row>
    <row r="457">
      <c r="J457" s="91"/>
    </row>
    <row r="458">
      <c r="J458" s="91"/>
    </row>
    <row r="459">
      <c r="J459" s="91"/>
    </row>
    <row r="460">
      <c r="J460" s="91"/>
    </row>
    <row r="461">
      <c r="J461" s="91"/>
    </row>
    <row r="462">
      <c r="J462" s="91"/>
    </row>
    <row r="463">
      <c r="J463" s="91"/>
    </row>
    <row r="464">
      <c r="J464" s="91"/>
    </row>
    <row r="465">
      <c r="J465" s="91"/>
    </row>
    <row r="466">
      <c r="J466" s="91"/>
    </row>
    <row r="467">
      <c r="J467" s="91"/>
    </row>
    <row r="468">
      <c r="J468" s="91"/>
    </row>
    <row r="469">
      <c r="J469" s="91"/>
    </row>
    <row r="470">
      <c r="J470" s="91"/>
    </row>
    <row r="471">
      <c r="J471" s="91"/>
    </row>
    <row r="472">
      <c r="J472" s="91"/>
    </row>
    <row r="473">
      <c r="J473" s="91"/>
    </row>
    <row r="474">
      <c r="J474" s="91"/>
    </row>
    <row r="475">
      <c r="J475" s="91"/>
    </row>
    <row r="476">
      <c r="J476" s="91"/>
    </row>
    <row r="477">
      <c r="J477" s="91"/>
    </row>
    <row r="478">
      <c r="J478" s="91"/>
    </row>
    <row r="479">
      <c r="J479" s="91"/>
    </row>
    <row r="480">
      <c r="J480" s="91"/>
    </row>
    <row r="481">
      <c r="J481" s="91"/>
    </row>
    <row r="482">
      <c r="J482" s="91"/>
    </row>
    <row r="483">
      <c r="J483" s="91"/>
    </row>
    <row r="484">
      <c r="J484" s="91"/>
    </row>
    <row r="485">
      <c r="J485" s="91"/>
    </row>
    <row r="486">
      <c r="J486" s="91"/>
    </row>
    <row r="487">
      <c r="J487" s="91"/>
    </row>
    <row r="488">
      <c r="J488" s="91"/>
    </row>
    <row r="489">
      <c r="J489" s="91"/>
    </row>
    <row r="490">
      <c r="J490" s="91"/>
    </row>
    <row r="491">
      <c r="J491" s="91"/>
    </row>
    <row r="492">
      <c r="J492" s="91"/>
    </row>
    <row r="493">
      <c r="J493" s="91"/>
    </row>
    <row r="494">
      <c r="J494" s="91"/>
    </row>
    <row r="495">
      <c r="J495" s="91"/>
    </row>
    <row r="496">
      <c r="J496" s="91"/>
    </row>
    <row r="497">
      <c r="J497" s="91"/>
    </row>
    <row r="498">
      <c r="J498" s="91"/>
    </row>
    <row r="499">
      <c r="J499" s="91"/>
    </row>
    <row r="500">
      <c r="J500" s="91"/>
    </row>
    <row r="501">
      <c r="J501" s="91"/>
    </row>
    <row r="502">
      <c r="J502" s="91"/>
    </row>
    <row r="503">
      <c r="J503" s="91"/>
    </row>
    <row r="504">
      <c r="J504" s="91"/>
    </row>
    <row r="505">
      <c r="J505" s="91"/>
    </row>
    <row r="506">
      <c r="J506" s="91"/>
    </row>
    <row r="507">
      <c r="J507" s="91"/>
    </row>
    <row r="508">
      <c r="J508" s="91"/>
    </row>
    <row r="509">
      <c r="J509" s="91"/>
    </row>
    <row r="510">
      <c r="J510" s="91"/>
    </row>
    <row r="511">
      <c r="J511" s="91"/>
    </row>
    <row r="512">
      <c r="J512" s="91"/>
    </row>
    <row r="513">
      <c r="J513" s="91"/>
    </row>
    <row r="514">
      <c r="J514" s="91"/>
    </row>
    <row r="515">
      <c r="J515" s="91"/>
    </row>
    <row r="516">
      <c r="J516" s="91"/>
    </row>
    <row r="517">
      <c r="J517" s="91"/>
    </row>
    <row r="518">
      <c r="J518" s="91"/>
    </row>
    <row r="519">
      <c r="J519" s="91"/>
    </row>
    <row r="520">
      <c r="J520" s="91"/>
    </row>
    <row r="521">
      <c r="J521" s="91"/>
    </row>
    <row r="522">
      <c r="J522" s="91"/>
    </row>
    <row r="523">
      <c r="J523" s="91"/>
    </row>
    <row r="524">
      <c r="J524" s="91"/>
    </row>
    <row r="525">
      <c r="J525" s="91"/>
    </row>
    <row r="526">
      <c r="J526" s="91"/>
    </row>
    <row r="527">
      <c r="J527" s="91"/>
    </row>
    <row r="528">
      <c r="J528" s="91"/>
    </row>
    <row r="529">
      <c r="J529" s="91"/>
    </row>
    <row r="530">
      <c r="J530" s="91"/>
    </row>
    <row r="531">
      <c r="J531" s="91"/>
    </row>
    <row r="532">
      <c r="J532" s="91"/>
    </row>
    <row r="533">
      <c r="J533" s="91"/>
    </row>
    <row r="534">
      <c r="J534" s="91"/>
    </row>
    <row r="535">
      <c r="J535" s="91"/>
    </row>
    <row r="536">
      <c r="J536" s="91"/>
    </row>
    <row r="537">
      <c r="J537" s="91"/>
    </row>
    <row r="538">
      <c r="J538" s="91"/>
    </row>
    <row r="539">
      <c r="J539" s="91"/>
    </row>
    <row r="540">
      <c r="J540" s="91"/>
    </row>
    <row r="541">
      <c r="J541" s="91"/>
    </row>
    <row r="542">
      <c r="J542" s="91"/>
    </row>
    <row r="543">
      <c r="J543" s="91"/>
    </row>
    <row r="544">
      <c r="J544" s="91"/>
    </row>
    <row r="545">
      <c r="J545" s="91"/>
    </row>
    <row r="546">
      <c r="J546" s="91"/>
    </row>
    <row r="547">
      <c r="J547" s="91"/>
    </row>
    <row r="548">
      <c r="J548" s="91"/>
    </row>
    <row r="549">
      <c r="J549" s="91"/>
    </row>
    <row r="550">
      <c r="J550" s="91"/>
    </row>
    <row r="551">
      <c r="J551" s="91"/>
    </row>
    <row r="552">
      <c r="J552" s="91"/>
    </row>
    <row r="553">
      <c r="J553" s="91"/>
    </row>
    <row r="554">
      <c r="J554" s="91"/>
    </row>
    <row r="555">
      <c r="J555" s="91"/>
    </row>
    <row r="556">
      <c r="J556" s="91"/>
    </row>
    <row r="557">
      <c r="J557" s="91"/>
    </row>
    <row r="558">
      <c r="J558" s="91"/>
    </row>
    <row r="559">
      <c r="J559" s="91"/>
    </row>
    <row r="560">
      <c r="J560" s="91"/>
    </row>
    <row r="561">
      <c r="J561" s="91"/>
    </row>
    <row r="562">
      <c r="J562" s="91"/>
    </row>
    <row r="563">
      <c r="J563" s="91"/>
    </row>
    <row r="564">
      <c r="J564" s="91"/>
    </row>
    <row r="565">
      <c r="J565" s="91"/>
    </row>
    <row r="566">
      <c r="J566" s="91"/>
    </row>
    <row r="567">
      <c r="J567" s="91"/>
    </row>
    <row r="568">
      <c r="J568" s="91"/>
    </row>
    <row r="569">
      <c r="J569" s="91"/>
    </row>
    <row r="570">
      <c r="J570" s="91"/>
    </row>
    <row r="571">
      <c r="J571" s="91"/>
    </row>
    <row r="572">
      <c r="J572" s="91"/>
    </row>
    <row r="573">
      <c r="J573" s="91"/>
    </row>
    <row r="574">
      <c r="J574" s="91"/>
    </row>
    <row r="575">
      <c r="J575" s="91"/>
    </row>
    <row r="576">
      <c r="J576" s="91"/>
    </row>
    <row r="577">
      <c r="J577" s="91"/>
    </row>
    <row r="578">
      <c r="J578" s="91"/>
    </row>
    <row r="579">
      <c r="J579" s="91"/>
    </row>
    <row r="580">
      <c r="J580" s="91"/>
    </row>
    <row r="581">
      <c r="J581" s="91"/>
    </row>
    <row r="582">
      <c r="J582" s="91"/>
    </row>
    <row r="583">
      <c r="J583" s="91"/>
    </row>
    <row r="584">
      <c r="J584" s="91"/>
    </row>
    <row r="585">
      <c r="J585" s="91"/>
    </row>
    <row r="586">
      <c r="J586" s="91"/>
    </row>
    <row r="587">
      <c r="J587" s="91"/>
    </row>
    <row r="588">
      <c r="J588" s="91"/>
    </row>
    <row r="589">
      <c r="J589" s="91"/>
    </row>
    <row r="590">
      <c r="J590" s="91"/>
    </row>
    <row r="591">
      <c r="J591" s="91"/>
    </row>
    <row r="592">
      <c r="J592" s="91"/>
    </row>
    <row r="593">
      <c r="J593" s="91"/>
    </row>
    <row r="594">
      <c r="J594" s="91"/>
    </row>
    <row r="595">
      <c r="J595" s="91"/>
    </row>
    <row r="596">
      <c r="J596" s="91"/>
    </row>
    <row r="597">
      <c r="J597" s="91"/>
    </row>
    <row r="598">
      <c r="J598" s="91"/>
    </row>
    <row r="599">
      <c r="J599" s="91"/>
    </row>
    <row r="600">
      <c r="J600" s="91"/>
    </row>
    <row r="601">
      <c r="J601" s="91"/>
    </row>
    <row r="602">
      <c r="J602" s="91"/>
    </row>
    <row r="603">
      <c r="J603" s="91"/>
    </row>
    <row r="604">
      <c r="J604" s="91"/>
    </row>
    <row r="605">
      <c r="J605" s="91"/>
    </row>
    <row r="606">
      <c r="J606" s="91"/>
    </row>
    <row r="607">
      <c r="J607" s="91"/>
    </row>
    <row r="608">
      <c r="J608" s="91"/>
    </row>
    <row r="609">
      <c r="J609" s="91"/>
    </row>
    <row r="610">
      <c r="J610" s="91"/>
    </row>
    <row r="611">
      <c r="J611" s="91"/>
    </row>
    <row r="612">
      <c r="J612" s="91"/>
    </row>
    <row r="613">
      <c r="J613" s="91"/>
    </row>
    <row r="614">
      <c r="J614" s="91"/>
    </row>
    <row r="615">
      <c r="J615" s="91"/>
    </row>
    <row r="616">
      <c r="J616" s="91"/>
    </row>
    <row r="617">
      <c r="J617" s="91"/>
    </row>
    <row r="618">
      <c r="J618" s="91"/>
    </row>
    <row r="619">
      <c r="J619" s="91"/>
    </row>
    <row r="620">
      <c r="J620" s="91"/>
    </row>
    <row r="621">
      <c r="J621" s="91"/>
    </row>
    <row r="622">
      <c r="J622" s="91"/>
    </row>
    <row r="623">
      <c r="J623" s="91"/>
    </row>
    <row r="624">
      <c r="J624" s="91"/>
    </row>
    <row r="625">
      <c r="J625" s="91"/>
    </row>
    <row r="626">
      <c r="J626" s="91"/>
    </row>
    <row r="627">
      <c r="J627" s="91"/>
    </row>
    <row r="628">
      <c r="J628" s="91"/>
    </row>
    <row r="629">
      <c r="J629" s="91"/>
    </row>
    <row r="630">
      <c r="J630" s="91"/>
    </row>
    <row r="631">
      <c r="J631" s="91"/>
    </row>
    <row r="632">
      <c r="J632" s="91"/>
    </row>
    <row r="633">
      <c r="J633" s="91"/>
    </row>
    <row r="634">
      <c r="J634" s="91"/>
    </row>
    <row r="635">
      <c r="J635" s="91"/>
    </row>
    <row r="636">
      <c r="J636" s="91"/>
    </row>
    <row r="637">
      <c r="J637" s="91"/>
    </row>
    <row r="638">
      <c r="J638" s="91"/>
    </row>
    <row r="639">
      <c r="J639" s="91"/>
    </row>
    <row r="640">
      <c r="J640" s="91"/>
    </row>
    <row r="641">
      <c r="J641" s="91"/>
    </row>
    <row r="642">
      <c r="J642" s="91"/>
    </row>
    <row r="643">
      <c r="J643" s="91"/>
    </row>
    <row r="644">
      <c r="J644" s="91"/>
    </row>
    <row r="645">
      <c r="J645" s="91"/>
    </row>
    <row r="646">
      <c r="J646" s="91"/>
    </row>
    <row r="647">
      <c r="J647" s="91"/>
    </row>
    <row r="648">
      <c r="J648" s="91"/>
    </row>
    <row r="649">
      <c r="J649" s="91"/>
    </row>
    <row r="650">
      <c r="J650" s="91"/>
    </row>
    <row r="651">
      <c r="J651" s="91"/>
    </row>
    <row r="652">
      <c r="J652" s="91"/>
    </row>
    <row r="653">
      <c r="J653" s="91"/>
    </row>
    <row r="654">
      <c r="J654" s="91"/>
    </row>
    <row r="655">
      <c r="J655" s="91"/>
    </row>
    <row r="656">
      <c r="J656" s="91"/>
    </row>
    <row r="657">
      <c r="J657" s="91"/>
    </row>
    <row r="658">
      <c r="J658" s="91"/>
    </row>
    <row r="659">
      <c r="J659" s="91"/>
    </row>
    <row r="660">
      <c r="J660" s="91"/>
    </row>
    <row r="661">
      <c r="J661" s="91"/>
    </row>
    <row r="662">
      <c r="J662" s="91"/>
    </row>
    <row r="663">
      <c r="J663" s="91"/>
    </row>
    <row r="664">
      <c r="J664" s="91"/>
    </row>
    <row r="665">
      <c r="J665" s="91"/>
    </row>
    <row r="666">
      <c r="J666" s="91"/>
    </row>
    <row r="667">
      <c r="J667" s="91"/>
    </row>
    <row r="668">
      <c r="J668" s="91"/>
    </row>
    <row r="669">
      <c r="J669" s="91"/>
    </row>
    <row r="670">
      <c r="J670" s="91"/>
    </row>
    <row r="671">
      <c r="J671" s="91"/>
    </row>
    <row r="672">
      <c r="J672" s="91"/>
    </row>
    <row r="673">
      <c r="J673" s="91"/>
    </row>
    <row r="674">
      <c r="J674" s="91"/>
    </row>
    <row r="675">
      <c r="J675" s="91"/>
    </row>
    <row r="676">
      <c r="J676" s="91"/>
    </row>
    <row r="677">
      <c r="J677" s="91"/>
    </row>
    <row r="678">
      <c r="J678" s="91"/>
    </row>
    <row r="679">
      <c r="J679" s="91"/>
    </row>
    <row r="680">
      <c r="J680" s="91"/>
    </row>
    <row r="681">
      <c r="J681" s="91"/>
    </row>
    <row r="682">
      <c r="J682" s="91"/>
    </row>
    <row r="683">
      <c r="J683" s="91"/>
    </row>
    <row r="684">
      <c r="J684" s="91"/>
    </row>
    <row r="685">
      <c r="J685" s="91"/>
    </row>
    <row r="686">
      <c r="J686" s="91"/>
    </row>
    <row r="687">
      <c r="J687" s="91"/>
    </row>
    <row r="688">
      <c r="J688" s="91"/>
    </row>
    <row r="689">
      <c r="J689" s="91"/>
    </row>
    <row r="690">
      <c r="J690" s="91"/>
    </row>
    <row r="691">
      <c r="J691" s="91"/>
    </row>
    <row r="692">
      <c r="J692" s="91"/>
    </row>
    <row r="693">
      <c r="J693" s="91"/>
    </row>
    <row r="694">
      <c r="J694" s="91"/>
    </row>
    <row r="695">
      <c r="J695" s="91"/>
    </row>
    <row r="696">
      <c r="J696" s="91"/>
    </row>
    <row r="697">
      <c r="J697" s="91"/>
    </row>
    <row r="698">
      <c r="J698" s="91"/>
    </row>
    <row r="699">
      <c r="J699" s="91"/>
    </row>
    <row r="700">
      <c r="J700" s="91"/>
    </row>
    <row r="701">
      <c r="J701" s="91"/>
    </row>
    <row r="702">
      <c r="J702" s="91"/>
    </row>
    <row r="703">
      <c r="J703" s="91"/>
    </row>
    <row r="704">
      <c r="J704" s="91"/>
    </row>
    <row r="705">
      <c r="J705" s="91"/>
    </row>
    <row r="706">
      <c r="J706" s="91"/>
    </row>
    <row r="707">
      <c r="J707" s="91"/>
    </row>
    <row r="708">
      <c r="J708" s="91"/>
    </row>
    <row r="709">
      <c r="J709" s="91"/>
    </row>
    <row r="710">
      <c r="J710" s="91"/>
    </row>
    <row r="711">
      <c r="J711" s="91"/>
    </row>
    <row r="712">
      <c r="J712" s="91"/>
    </row>
    <row r="713">
      <c r="J713" s="91"/>
    </row>
    <row r="714">
      <c r="J714" s="91"/>
    </row>
    <row r="715">
      <c r="J715" s="91"/>
    </row>
    <row r="716">
      <c r="J716" s="91"/>
    </row>
    <row r="717">
      <c r="J717" s="91"/>
    </row>
    <row r="718">
      <c r="J718" s="91"/>
    </row>
    <row r="719">
      <c r="J719" s="91"/>
    </row>
    <row r="720">
      <c r="J720" s="91"/>
    </row>
    <row r="721">
      <c r="J721" s="91"/>
    </row>
    <row r="722">
      <c r="J722" s="91"/>
    </row>
    <row r="723">
      <c r="J723" s="91"/>
    </row>
    <row r="724">
      <c r="J724" s="91"/>
    </row>
    <row r="725">
      <c r="J725" s="91"/>
    </row>
    <row r="726">
      <c r="J726" s="91"/>
    </row>
    <row r="727">
      <c r="J727" s="91"/>
    </row>
    <row r="728">
      <c r="J728" s="91"/>
    </row>
    <row r="729">
      <c r="J729" s="91"/>
    </row>
    <row r="730">
      <c r="J730" s="91"/>
    </row>
    <row r="731">
      <c r="J731" s="91"/>
    </row>
    <row r="732">
      <c r="J732" s="91"/>
    </row>
    <row r="733">
      <c r="J733" s="91"/>
    </row>
    <row r="734">
      <c r="J734" s="91"/>
    </row>
    <row r="735">
      <c r="J735" s="91"/>
    </row>
    <row r="736">
      <c r="J736" s="91"/>
    </row>
    <row r="737">
      <c r="J737" s="91"/>
    </row>
    <row r="738">
      <c r="J738" s="91"/>
    </row>
    <row r="739">
      <c r="J739" s="91"/>
    </row>
    <row r="740">
      <c r="J740" s="91"/>
    </row>
    <row r="741">
      <c r="J741" s="91"/>
    </row>
    <row r="742">
      <c r="J742" s="91"/>
    </row>
    <row r="743">
      <c r="J743" s="91"/>
    </row>
    <row r="744">
      <c r="J744" s="91"/>
    </row>
    <row r="745">
      <c r="J745" s="91"/>
    </row>
    <row r="746">
      <c r="J746" s="91"/>
    </row>
    <row r="747">
      <c r="J747" s="91"/>
    </row>
    <row r="748">
      <c r="J748" s="91"/>
    </row>
    <row r="749">
      <c r="J749" s="91"/>
    </row>
    <row r="750">
      <c r="J750" s="91"/>
    </row>
    <row r="751">
      <c r="J751" s="91"/>
    </row>
    <row r="752">
      <c r="J752" s="91"/>
    </row>
    <row r="753">
      <c r="J753" s="91"/>
    </row>
    <row r="754">
      <c r="J754" s="91"/>
    </row>
    <row r="755">
      <c r="J755" s="91"/>
    </row>
    <row r="756">
      <c r="J756" s="91"/>
    </row>
    <row r="757">
      <c r="J757" s="91"/>
    </row>
    <row r="758">
      <c r="J758" s="91"/>
    </row>
    <row r="759">
      <c r="J759" s="91"/>
    </row>
    <row r="760">
      <c r="J760" s="91"/>
    </row>
    <row r="761">
      <c r="J761" s="91"/>
    </row>
    <row r="762">
      <c r="J762" s="91"/>
    </row>
    <row r="763">
      <c r="J763" s="91"/>
    </row>
    <row r="764">
      <c r="J764" s="91"/>
    </row>
    <row r="765">
      <c r="J765" s="91"/>
    </row>
    <row r="766">
      <c r="J766" s="91"/>
    </row>
    <row r="767">
      <c r="J767" s="91"/>
    </row>
    <row r="768">
      <c r="J768" s="91"/>
    </row>
    <row r="769">
      <c r="J769" s="91"/>
    </row>
    <row r="770">
      <c r="J770" s="91"/>
    </row>
    <row r="771">
      <c r="J771" s="91"/>
    </row>
    <row r="772">
      <c r="J772" s="91"/>
    </row>
    <row r="773">
      <c r="J773" s="91"/>
    </row>
    <row r="774">
      <c r="J774" s="91"/>
    </row>
    <row r="775">
      <c r="J775" s="91"/>
    </row>
    <row r="776">
      <c r="J776" s="91"/>
    </row>
    <row r="777">
      <c r="J777" s="91"/>
    </row>
    <row r="778">
      <c r="J778" s="91"/>
    </row>
    <row r="779">
      <c r="J779" s="91"/>
    </row>
    <row r="780">
      <c r="J780" s="91"/>
    </row>
    <row r="781">
      <c r="J781" s="91"/>
    </row>
    <row r="782">
      <c r="J782" s="91"/>
    </row>
    <row r="783">
      <c r="J783" s="91"/>
    </row>
    <row r="784">
      <c r="J784" s="91"/>
    </row>
    <row r="785">
      <c r="J785" s="91"/>
    </row>
    <row r="786">
      <c r="J786" s="91"/>
    </row>
    <row r="787">
      <c r="J787" s="91"/>
    </row>
    <row r="788">
      <c r="J788" s="91"/>
    </row>
    <row r="789">
      <c r="J789" s="91"/>
    </row>
    <row r="790">
      <c r="J790" s="91"/>
    </row>
    <row r="791">
      <c r="J791" s="91"/>
    </row>
    <row r="792">
      <c r="J792" s="91"/>
    </row>
    <row r="793">
      <c r="J793" s="91"/>
    </row>
    <row r="794">
      <c r="J794" s="91"/>
    </row>
    <row r="795">
      <c r="J795" s="91"/>
    </row>
    <row r="796">
      <c r="J796" s="91"/>
    </row>
    <row r="797">
      <c r="J797" s="91"/>
    </row>
    <row r="798">
      <c r="J798" s="91"/>
    </row>
    <row r="799">
      <c r="J799" s="91"/>
    </row>
    <row r="800">
      <c r="J800" s="91"/>
    </row>
    <row r="801">
      <c r="J801" s="91"/>
    </row>
    <row r="802">
      <c r="J802" s="91"/>
    </row>
    <row r="803">
      <c r="J803" s="91"/>
    </row>
    <row r="804">
      <c r="J804" s="91"/>
    </row>
    <row r="805">
      <c r="J805" s="91"/>
    </row>
    <row r="806">
      <c r="J806" s="91"/>
    </row>
    <row r="807">
      <c r="J807" s="91"/>
    </row>
    <row r="808">
      <c r="J808" s="91"/>
    </row>
    <row r="809">
      <c r="J809" s="91"/>
    </row>
    <row r="810">
      <c r="J810" s="91"/>
    </row>
    <row r="811">
      <c r="J811" s="91"/>
    </row>
    <row r="812">
      <c r="J812" s="91"/>
    </row>
    <row r="813">
      <c r="J813" s="91"/>
    </row>
    <row r="814">
      <c r="J814" s="91"/>
    </row>
    <row r="815">
      <c r="J815" s="91"/>
    </row>
    <row r="816">
      <c r="J816" s="91"/>
    </row>
    <row r="817">
      <c r="J817" s="91"/>
    </row>
    <row r="818">
      <c r="J818" s="91"/>
    </row>
    <row r="819">
      <c r="J819" s="91"/>
    </row>
    <row r="820">
      <c r="J820" s="91"/>
    </row>
    <row r="821">
      <c r="J821" s="91"/>
    </row>
    <row r="822">
      <c r="J822" s="91"/>
    </row>
    <row r="823">
      <c r="J823" s="91"/>
    </row>
    <row r="824">
      <c r="J824" s="91"/>
    </row>
    <row r="825">
      <c r="J825" s="91"/>
    </row>
    <row r="826">
      <c r="J826" s="91"/>
    </row>
    <row r="827">
      <c r="J827" s="91"/>
    </row>
    <row r="828">
      <c r="J828" s="91"/>
    </row>
    <row r="829">
      <c r="J829" s="91"/>
    </row>
    <row r="830">
      <c r="J830" s="91"/>
    </row>
    <row r="831">
      <c r="J831" s="91"/>
    </row>
    <row r="832">
      <c r="J832" s="91"/>
    </row>
    <row r="833">
      <c r="J833" s="91"/>
    </row>
    <row r="834">
      <c r="J834" s="91"/>
    </row>
    <row r="835">
      <c r="J835" s="91"/>
    </row>
    <row r="836">
      <c r="J836" s="91"/>
    </row>
    <row r="837">
      <c r="J837" s="91"/>
    </row>
    <row r="838">
      <c r="J838" s="91"/>
    </row>
    <row r="839">
      <c r="J839" s="91"/>
    </row>
    <row r="840">
      <c r="J840" s="91"/>
    </row>
    <row r="841">
      <c r="J841" s="91"/>
    </row>
    <row r="842">
      <c r="J842" s="91"/>
    </row>
    <row r="843">
      <c r="J843" s="91"/>
    </row>
    <row r="844">
      <c r="J844" s="91"/>
    </row>
    <row r="845">
      <c r="J845" s="91"/>
    </row>
    <row r="846">
      <c r="J846" s="91"/>
    </row>
    <row r="847">
      <c r="J847" s="91"/>
    </row>
    <row r="848">
      <c r="J848" s="91"/>
    </row>
    <row r="849">
      <c r="J849" s="91"/>
    </row>
    <row r="850">
      <c r="J850" s="91"/>
    </row>
    <row r="851">
      <c r="J851" s="91"/>
    </row>
    <row r="852">
      <c r="J852" s="91"/>
    </row>
    <row r="853">
      <c r="J853" s="91"/>
    </row>
    <row r="854">
      <c r="J854" s="91"/>
    </row>
    <row r="855">
      <c r="J855" s="91"/>
    </row>
    <row r="856">
      <c r="J856" s="91"/>
    </row>
    <row r="857">
      <c r="J857" s="91"/>
    </row>
    <row r="858">
      <c r="J858" s="91"/>
    </row>
    <row r="859">
      <c r="J859" s="91"/>
    </row>
    <row r="860">
      <c r="J860" s="91"/>
    </row>
    <row r="861">
      <c r="J861" s="91"/>
    </row>
    <row r="862">
      <c r="J862" s="91"/>
    </row>
    <row r="863">
      <c r="J863" s="91"/>
    </row>
    <row r="864">
      <c r="J864" s="91"/>
    </row>
    <row r="865">
      <c r="J865" s="91"/>
    </row>
    <row r="866">
      <c r="J866" s="91"/>
    </row>
    <row r="867">
      <c r="J867" s="91"/>
    </row>
    <row r="868">
      <c r="J868" s="91"/>
    </row>
    <row r="869">
      <c r="J869" s="91"/>
    </row>
    <row r="870">
      <c r="J870" s="91"/>
    </row>
    <row r="871">
      <c r="J871" s="91"/>
    </row>
    <row r="872">
      <c r="J872" s="91"/>
    </row>
    <row r="873">
      <c r="J873" s="91"/>
    </row>
    <row r="874">
      <c r="J874" s="91"/>
    </row>
    <row r="875">
      <c r="J875" s="91"/>
    </row>
    <row r="876">
      <c r="J876" s="91"/>
    </row>
    <row r="877">
      <c r="J877" s="91"/>
    </row>
    <row r="878">
      <c r="J878" s="91"/>
    </row>
    <row r="879">
      <c r="J879" s="91"/>
    </row>
    <row r="880">
      <c r="J880" s="91"/>
    </row>
    <row r="881">
      <c r="J881" s="91"/>
    </row>
    <row r="882">
      <c r="J882" s="91"/>
    </row>
    <row r="883">
      <c r="J883" s="91"/>
    </row>
    <row r="884">
      <c r="J884" s="91"/>
    </row>
    <row r="885">
      <c r="J885" s="91"/>
    </row>
    <row r="886">
      <c r="J886" s="91"/>
    </row>
    <row r="887">
      <c r="J887" s="91"/>
    </row>
    <row r="888">
      <c r="J888" s="91"/>
    </row>
    <row r="889">
      <c r="J889" s="91"/>
    </row>
    <row r="890">
      <c r="J890" s="91"/>
    </row>
    <row r="891">
      <c r="J891" s="91"/>
    </row>
    <row r="892">
      <c r="J892" s="91"/>
    </row>
    <row r="893">
      <c r="J893" s="91"/>
    </row>
    <row r="894">
      <c r="J894" s="91"/>
    </row>
    <row r="895">
      <c r="J895" s="91"/>
    </row>
    <row r="896">
      <c r="J896" s="91"/>
    </row>
    <row r="897">
      <c r="J897" s="91"/>
    </row>
    <row r="898">
      <c r="J898" s="91"/>
    </row>
  </sheetData>
  <mergeCells count="12">
    <mergeCell ref="AA147:AD147"/>
    <mergeCell ref="AA151:AD151"/>
    <mergeCell ref="AA155:AD155"/>
    <mergeCell ref="AA206:AD206"/>
    <mergeCell ref="AA210:AD210"/>
    <mergeCell ref="AA22:AD22"/>
    <mergeCell ref="AA68:AD68"/>
    <mergeCell ref="AA72:AD72"/>
    <mergeCell ref="H88:K88"/>
    <mergeCell ref="H110:K110"/>
    <mergeCell ref="AA115:AD115"/>
    <mergeCell ref="H132:K132"/>
  </mergeCells>
  <conditionalFormatting sqref="U5:X5 U12:X12 U20:X20 U27:X27 U34:X34 U42:X42 U49:X49 U56:X56 U64:X64 U71:X71 U78:X78 U86:X86 U93:X93 U100:X100 U108:X108 U115:X115 U122:X122 U130:X130 U137:X137 U144:X144 U152:X152 U159:X159 U166:X166 U174:X174 U181:X181 U188:X188 U196:X196 U203:X203 U210:X210 U218:X218 U225:X225 U232:X232 U240:X240 U247:X247 U254:X254 U262:X262 U269:X269 U276:X276 U284:X284">
    <cfRule type="expression" dxfId="14" priority="1">
      <formula>COUNTIF($U5:$X5, U5) &gt; 1</formula>
    </cfRule>
  </conditionalFormatting>
  <conditionalFormatting sqref="U12:X12 U34:X34 U56:X56 U78:X78 U100:X100 U122:X122 U144:X144 U166:X166 U188:X188 U210:X210 U232:X232 U254:X254">
    <cfRule type="expression" dxfId="15" priority="2">
      <formula>COUNTIF($U12:$X12, U12) &gt; 1</formula>
    </cfRule>
  </conditionalFormatting>
  <conditionalFormatting sqref="Y1:Y65 Y67:Y898 AC100 AP111 AC148:AC150 AC152:AC154 AC156:AC158 AC207:AC209 AC211:AC213">
    <cfRule type="cellIs" dxfId="16" priority="3" operator="equal">
      <formula>"CT"</formula>
    </cfRule>
  </conditionalFormatting>
  <conditionalFormatting sqref="Y1:Y65 Y67:Y898 AC100 AP111 AC148:AC150 AC152:AC154 AC156:AC158 AC207:AC209 AC211:AC213">
    <cfRule type="cellIs" dxfId="17" priority="4" operator="equal">
      <formula>"T"</formula>
    </cfRule>
  </conditionalFormatting>
  <conditionalFormatting sqref="I1:I18 S1:S65 K2 K8 AB19:AB21 I20:I40 AB23:AB25 K24 M27 W27:W28 AB27:AB29 M29:M31 K30 AB31:AB33 AB35:AB37 AB39:AB41 I42:I62 AB43:AB45 K46 AB47:AB49 M49 W49:W50 M51:M53 AB51:AB53 K52 AB55:AB57 AB59:AB61 AB63:AB65 I64:I65 I67:I87 S67:S898 AB67 K68 W69:W79 AB69:AB71 M71 M73:M75 AB73:AB75 K74 M78:M79 I89:I109 K90 W91:W101 M93 M95:M97 K96 M100:M101 I111:I131 K112 W113:W123 M115 AB116:AB118 M117:M119 K118 M122:M123 I133:I898 K134 W135:W145 M137 M139:M141 K140 M144:M145 AB148:AB150 AB152:AB154 K156 AB156:AB158 W157:W167 M159 M161:M163 K162 M166:M167 K178 W179:W189 M181 M183:M185 K184 M188:M189 K200 W201:W211 M203 M205:M207 K206 AB207:AB209 M210:M211 AB211:AB213 K222 W223:W233 M225 M227:M229 K228 M232:M233 K244 W245:W255 M247 M249:M251 K250 M254:M255">
    <cfRule type="cellIs" dxfId="18" priority="5" operator="equal">
      <formula>1</formula>
    </cfRule>
  </conditionalFormatting>
  <conditionalFormatting sqref="I1:I18 S1:S65 K2 K8 AB19:AB21 I20:I40 AB23:AB25 K24 M27 W27:W28 AB27:AB29 M29:M31 K30 AB31:AB33 AB35:AB37 AB39:AB41 I42:I62 AB43:AB45 K46 AB47:AB49 M49 W49:W50 M51:M53 AB51:AB53 K52 AB55:AB57 AB59:AB61 AB63:AB65 I64:I65 I67:I87 S67:S898 AB67 K68 W69:W79 AB69:AB71 M71 M73:M75 AB73:AB75 K74 M78:M79 I89:I109 K90 W91:W101 M93 M95:M97 K96 M100:M101 I111:I131 K112 W113:W123 M115 AB116:AB118 M117:M119 K118 M122:M123 I133:I898 K134 W135:W145 M137 M139:M141 K140 M144:M145 AB148:AB150 AB152:AB154 K156 AB156:AB158 W157:W167 M159 M161:M163 K162 M166:M167 K178 W179:W189 M181 M183:M185 K184 M188:M189 K200 W201:W211 M203 M205:M207 K206 AB207:AB209 M210:M211 AB211:AB213 K222 W223:W233 M225 M227:M229 K228 M232:M233 K244 W245:W255 M247 M249:M251 K250 M254:M255">
    <cfRule type="cellIs" dxfId="19" priority="6" operator="equal">
      <formula>0</formula>
    </cfRule>
  </conditionalFormatting>
  <conditionalFormatting sqref="AL4:AX13">
    <cfRule type="colorScale" priority="7">
      <colorScale>
        <cfvo type="min"/>
        <cfvo type="max"/>
        <color rgb="FFFFFFFF"/>
        <color rgb="FF57BB8A"/>
      </colorScale>
    </cfRule>
  </conditionalFormatting>
  <conditionalFormatting sqref="U23:U43 V23:V24 W23:Z28 AF23:AF67 V26:V31 AG27:AJ43 V33:V39 V41:V43 U45:U65 V45:V46 W45:Y50 V48:V53 V55:V61 V63:V65 U67:U87 V67:V68 W67:Y72 V70:V75 V77:V83 V85:V87 U89:U109 V89:V90 W89:Y94 V92:V97 V99:V105 AB100:AE100 V107:V109 U111:U131 V111:V112 W111:Y116 AO111:AW111 V114:V119 V121:V127 V129:V131 U133:U153 V133:V134 W133:Y138 V136:V141 V143:V149 V151:V153 U155:U175 V155:V156 W155:Y160 V158:V163 V165:V171 V173:V175 U177:U197 V177:V178 W177:Y182 V180:V185 V187:V193 V195:V197 U199:U219 V199:V200 W199:Y204 V202:V207 V209:V215 V217:V219 U221:U241 V221:V222 W221:Y226 V224:V229 V231:V237 V239:V241 U243:U263 V243:V244 W243:Y248 V246:V251 V253:V259 V261:V263">
    <cfRule type="cellIs" dxfId="18" priority="8" operator="equal">
      <formula>1</formula>
    </cfRule>
  </conditionalFormatting>
  <conditionalFormatting sqref="U37:U57 V37:V39 AF37:AJ57 V41:V46 V48:V53 V55:V57 U59:U65 V59:V61 V63:V65 U67:U79 V67:V68 V70:V75 V77:V79 U81:U87 V81:V83 V85:V87 U89:U101 V89:V90 V92:V97 V99:V101 U103:U109 V103:V105 V107:V109 U111:U123 V111:V112 V114:V119 V121:V123 U125:U131 V125:V127 V129:V131 U133:U145 V133:V134 V136:V141 V143:V145 U147:U153 V147:V149 V151:V153 U155:U167 V155:V156 V158:V163 V165:V167 U169:U175 V169:V171 V173:V175 U177:U189 V177:V178 V180:V185 V187:V189 U191:U197 V191:V193 V195:V197 U199:U211 V199:V200 V202:V207 V209:V211 U213:U219 V213:V215 V217:V219 U221:U233 V221:V222 V224:V229 V231:V233 U235:U241 V235:V237 V239:V241 U243:U255 V243:V244 V246:V251 V253:V255 U257:U263 V257:V259 V261:V263">
    <cfRule type="cellIs" dxfId="18" priority="9" operator="between">
      <formula>1</formula>
      <formula>3</formula>
    </cfRule>
  </conditionalFormatting>
  <dataValidations>
    <dataValidation type="list" allowBlank="1" sqref="Y5 Y12 Y20 Y27 Y34 Y42 Y49 Y56 Y64 Y71 Y78 Y86 Y93 Y100 Y108 Y115 Y122 Y130 Y137 Y144 Y152 Y159 Y166 Y174 Y181 Y188 Y196 Y203 Y210 Y218 Y225 Y232 Y240 Y247 Y254 Y262 Y269 Y276 Y284">
      <formula1>"CT,T"</formula1>
    </dataValidation>
    <dataValidation type="list" allowBlank="1" sqref="U5:X5 U12:X12 U20:X20 U27:X27 U34:X34 U42:X42 U49:X49 U56:X56 U64:X64 U71:X71 U78:X78 U86:X86 U93:X93 U100:X100 U108:X108 U115:X115 U122:X122 U130:X130 U137:X137 U144:X144 U152:X152 U159:X159 U166:X166 U174:X174 U181:X181 U188:X188 U196:X196 U203:X203 U210:X210 U218:X218 U225:X225 U232:X232 U240:X240 U247:X247 U254:X254 U262:X262 U269:X269 U276:X276 U284:X284">
      <formula1>"Drawbridge,Memento,Debris,Splat,Rooftop"</formula1>
    </dataValidation>
  </dataValidations>
  <drawing r:id="rId1"/>
  <tableParts count="119">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5.88"/>
    <col customWidth="1" min="6" max="6" width="14.75"/>
  </cols>
  <sheetData>
    <row r="1">
      <c r="A1" s="120" t="s">
        <v>115</v>
      </c>
      <c r="B1" s="120" t="s">
        <v>116</v>
      </c>
      <c r="C1" s="120" t="s">
        <v>117</v>
      </c>
      <c r="D1" s="120" t="s">
        <v>118</v>
      </c>
      <c r="H1" s="120" t="s">
        <v>119</v>
      </c>
      <c r="K1" s="120" t="s">
        <v>120</v>
      </c>
    </row>
    <row r="2">
      <c r="A2" s="120" t="s">
        <v>31</v>
      </c>
      <c r="B2" s="120">
        <v>12264.0</v>
      </c>
      <c r="C2" s="120">
        <v>12264.0</v>
      </c>
      <c r="D2" s="120">
        <v>8.0</v>
      </c>
      <c r="F2" s="120"/>
      <c r="G2" s="120" t="s">
        <v>32</v>
      </c>
      <c r="H2" s="120" t="s">
        <v>121</v>
      </c>
      <c r="I2" s="120" t="s">
        <v>122</v>
      </c>
      <c r="K2" s="121">
        <f>MAX(H3:H14)</f>
        <v>138695</v>
      </c>
    </row>
    <row r="3">
      <c r="A3" s="120" t="s">
        <v>14</v>
      </c>
      <c r="B3" s="120">
        <v>20844.0</v>
      </c>
      <c r="C3" s="120">
        <v>20844.0</v>
      </c>
      <c r="D3" s="120">
        <v>8.0</v>
      </c>
      <c r="F3" s="120"/>
      <c r="G3" s="120" t="s">
        <v>10</v>
      </c>
      <c r="H3" s="121">
        <f t="shared" ref="H3:H14" si="1">SUMIF($C$17:$C$55,G3,$A$17:$A$55)+SUMIF($D$17:$D$55,G3,$B$17:$B$55)+SUMIF($G$17:$G$55,G3,$I$17:$I$55)+SUMIF($H$17:$H$55,G3,$J$17:$J$55)</f>
        <v>129594</v>
      </c>
      <c r="I3" s="122">
        <f t="shared" ref="I3:I14" si="2">H3/$K$2</f>
        <v>0.9343811961</v>
      </c>
    </row>
    <row r="4">
      <c r="A4" s="120" t="s">
        <v>12</v>
      </c>
      <c r="B4" s="120">
        <v>12316.0</v>
      </c>
      <c r="C4" s="120">
        <v>12316.0</v>
      </c>
      <c r="D4" s="120">
        <v>6.0</v>
      </c>
      <c r="F4" s="120"/>
      <c r="G4" s="120" t="s">
        <v>11</v>
      </c>
      <c r="H4" s="121">
        <f t="shared" si="1"/>
        <v>95168</v>
      </c>
      <c r="I4" s="122">
        <f t="shared" si="2"/>
        <v>0.6861674898</v>
      </c>
      <c r="K4" s="120" t="s">
        <v>123</v>
      </c>
    </row>
    <row r="5">
      <c r="A5" s="120" t="s">
        <v>10</v>
      </c>
      <c r="B5" s="120">
        <v>15691.0</v>
      </c>
      <c r="C5" s="120">
        <v>15691.0</v>
      </c>
      <c r="D5" s="120">
        <v>5.0</v>
      </c>
      <c r="F5" s="120"/>
      <c r="G5" s="120" t="s">
        <v>12</v>
      </c>
      <c r="H5" s="121">
        <f t="shared" si="1"/>
        <v>116168</v>
      </c>
      <c r="I5" s="122">
        <f t="shared" si="2"/>
        <v>0.8375788601</v>
      </c>
    </row>
    <row r="6">
      <c r="A6" s="120" t="s">
        <v>26</v>
      </c>
      <c r="B6" s="120">
        <v>17486.0</v>
      </c>
      <c r="C6" s="120">
        <v>17486.0</v>
      </c>
      <c r="D6" s="120">
        <v>9.0</v>
      </c>
      <c r="F6" s="120"/>
      <c r="G6" s="120" t="s">
        <v>14</v>
      </c>
      <c r="H6" s="121">
        <f t="shared" si="1"/>
        <v>122125</v>
      </c>
      <c r="I6" s="122">
        <f t="shared" si="2"/>
        <v>0.8805292188</v>
      </c>
    </row>
    <row r="7">
      <c r="A7" s="120" t="s">
        <v>18</v>
      </c>
      <c r="B7" s="120">
        <v>8500.0</v>
      </c>
      <c r="C7" s="120">
        <v>8500.0</v>
      </c>
      <c r="D7" s="120">
        <v>5.0</v>
      </c>
      <c r="F7" s="120"/>
      <c r="G7" s="120" t="s">
        <v>16</v>
      </c>
      <c r="H7" s="121">
        <f t="shared" si="1"/>
        <v>112445</v>
      </c>
      <c r="I7" s="122">
        <f t="shared" si="2"/>
        <v>0.8107357872</v>
      </c>
    </row>
    <row r="8">
      <c r="A8" s="120" t="s">
        <v>30</v>
      </c>
      <c r="B8" s="120">
        <v>2500.0</v>
      </c>
      <c r="C8" s="120">
        <v>2500.0</v>
      </c>
      <c r="D8" s="120">
        <v>3.0</v>
      </c>
      <c r="F8" s="120"/>
      <c r="G8" s="120" t="s">
        <v>124</v>
      </c>
      <c r="H8" s="121">
        <f t="shared" si="1"/>
        <v>138695</v>
      </c>
      <c r="I8" s="122">
        <f t="shared" si="2"/>
        <v>1</v>
      </c>
    </row>
    <row r="9">
      <c r="A9" s="120" t="s">
        <v>16</v>
      </c>
      <c r="B9" s="120">
        <v>3105.0</v>
      </c>
      <c r="C9" s="120">
        <v>2500.0</v>
      </c>
      <c r="D9" s="120">
        <v>5.0</v>
      </c>
      <c r="F9" s="120"/>
      <c r="G9" s="120" t="s">
        <v>26</v>
      </c>
      <c r="H9" s="121">
        <f t="shared" si="1"/>
        <v>116827</v>
      </c>
      <c r="I9" s="122">
        <f t="shared" si="2"/>
        <v>0.8423302931</v>
      </c>
    </row>
    <row r="10">
      <c r="A10" s="120" t="s">
        <v>11</v>
      </c>
      <c r="B10" s="120">
        <v>1153.0</v>
      </c>
      <c r="C10" s="120">
        <v>2500.0</v>
      </c>
      <c r="D10" s="120">
        <v>1.0</v>
      </c>
      <c r="F10" s="120"/>
      <c r="G10" s="120" t="s">
        <v>30</v>
      </c>
      <c r="H10" s="121">
        <f t="shared" si="1"/>
        <v>118852</v>
      </c>
      <c r="I10" s="122">
        <f t="shared" si="2"/>
        <v>0.8569306752</v>
      </c>
    </row>
    <row r="11">
      <c r="A11" s="120" t="s">
        <v>22</v>
      </c>
      <c r="B11" s="120">
        <v>3500.0</v>
      </c>
      <c r="C11" s="120">
        <v>3500.0</v>
      </c>
      <c r="D11" s="120">
        <v>3.0</v>
      </c>
      <c r="F11" s="123"/>
      <c r="G11" s="123" t="s">
        <v>31</v>
      </c>
      <c r="H11" s="121">
        <f t="shared" si="1"/>
        <v>98906</v>
      </c>
      <c r="I11" s="122">
        <f t="shared" si="2"/>
        <v>0.7131187137</v>
      </c>
    </row>
    <row r="12">
      <c r="A12" s="120" t="s">
        <v>28</v>
      </c>
      <c r="B12" s="120">
        <v>7000.0</v>
      </c>
      <c r="C12" s="120">
        <v>7000.0</v>
      </c>
      <c r="D12" s="120">
        <v>3.0</v>
      </c>
      <c r="F12" s="120"/>
      <c r="G12" s="120" t="s">
        <v>125</v>
      </c>
      <c r="H12" s="121">
        <f t="shared" si="1"/>
        <v>132081</v>
      </c>
      <c r="I12" s="122">
        <f t="shared" si="2"/>
        <v>0.9523126284</v>
      </c>
    </row>
    <row r="13">
      <c r="A13" s="120" t="s">
        <v>126</v>
      </c>
      <c r="B13" s="120">
        <v>3500.0</v>
      </c>
      <c r="C13" s="120">
        <v>3500.0</v>
      </c>
      <c r="D13" s="120">
        <v>3.0</v>
      </c>
      <c r="F13" s="120"/>
      <c r="G13" s="120" t="s">
        <v>126</v>
      </c>
      <c r="H13" s="121">
        <f t="shared" si="1"/>
        <v>131785</v>
      </c>
      <c r="I13" s="122">
        <f t="shared" si="2"/>
        <v>0.9501784491</v>
      </c>
    </row>
    <row r="14">
      <c r="A14" s="120" t="s">
        <v>20</v>
      </c>
      <c r="B14" s="120">
        <v>1000.0</v>
      </c>
      <c r="C14" s="120">
        <v>1000.0</v>
      </c>
      <c r="D14" s="120">
        <v>1.0</v>
      </c>
      <c r="F14" s="120"/>
      <c r="G14" s="120" t="s">
        <v>127</v>
      </c>
      <c r="H14" s="121">
        <f t="shared" si="1"/>
        <v>112213</v>
      </c>
      <c r="I14" s="122">
        <f t="shared" si="2"/>
        <v>0.809063052</v>
      </c>
      <c r="M14" s="107"/>
    </row>
    <row r="15">
      <c r="A15" s="107" t="s">
        <v>128</v>
      </c>
      <c r="F15" s="107"/>
      <c r="G15" s="107" t="s">
        <v>129</v>
      </c>
      <c r="O15" s="107"/>
      <c r="P15" s="107"/>
    </row>
    <row r="16">
      <c r="A16" s="120" t="s">
        <v>130</v>
      </c>
      <c r="B16" s="120" t="s">
        <v>131</v>
      </c>
      <c r="C16" s="120" t="s">
        <v>132</v>
      </c>
      <c r="E16" s="120" t="s">
        <v>133</v>
      </c>
      <c r="F16" s="120" t="s">
        <v>134</v>
      </c>
      <c r="G16" s="120" t="s">
        <v>132</v>
      </c>
      <c r="I16" s="120" t="s">
        <v>130</v>
      </c>
      <c r="J16" s="120" t="s">
        <v>131</v>
      </c>
      <c r="L16" s="120" t="s">
        <v>135</v>
      </c>
    </row>
    <row r="17">
      <c r="A17" s="121">
        <f t="shared" ref="A17:A55" si="3">MAX(XLOOKUP(G17,$A$2:$A$14,$B$2:$B$14)+XLOOKUP(H17,$A$2:$A$14,$B$2:$B$14)-XLOOKUP(D17,$A$2:$A$14,$B$2:$B$14),0)</f>
        <v>14816</v>
      </c>
      <c r="B17" s="121">
        <f t="shared" ref="B17:B55" si="4">MAX(XLOOKUP(G17,$A$2:$A$14,$B$2:$B$14)+XLOOKUP(H17,$A$2:$A$14,$B$2:$B$14)-XLOOKUP(C17,$A$2:$A$14,$B$2:$B$14),0)</f>
        <v>3552</v>
      </c>
      <c r="C17" s="120" t="s">
        <v>31</v>
      </c>
      <c r="D17" s="120" t="s">
        <v>20</v>
      </c>
      <c r="E17" s="124">
        <f t="shared" ref="E17:E55" si="5"> (A17 + B17 - I17 - J17)/1000</f>
        <v>7.656</v>
      </c>
      <c r="F17" s="125">
        <f t="shared" ref="F17:F55" si="6">E17/$E$57*100</f>
        <v>10.99052541</v>
      </c>
      <c r="G17" s="120" t="s">
        <v>12</v>
      </c>
      <c r="H17" s="120" t="s">
        <v>22</v>
      </c>
      <c r="I17" s="121">
        <f t="shared" ref="I17:I55" si="7">MAX(XLOOKUP(C17,$A$2:$A$14,$B$2:$B$14)+XLOOKUP(D17,$A$2:$A$14,$B$2:$B$14)-XLOOKUP(H17,$A$2:$A$14,$B$2:$B$14),0)</f>
        <v>9764</v>
      </c>
      <c r="J17" s="121">
        <f t="shared" ref="J17:J55" si="8">MAX(XLOOKUP(C17,$A$2:$A$14,$B$2:$B$14)+XLOOKUP(D17,$A$2:$A$14,$B$2:$B$14)-XLOOKUP(G17,$A$2:$A$14,$B$2:$B$14),0)</f>
        <v>948</v>
      </c>
      <c r="L17" s="120">
        <v>1.0</v>
      </c>
    </row>
    <row r="18">
      <c r="A18" s="121">
        <f t="shared" si="3"/>
        <v>4000</v>
      </c>
      <c r="B18" s="121">
        <f t="shared" si="4"/>
        <v>0</v>
      </c>
      <c r="C18" s="120" t="s">
        <v>14</v>
      </c>
      <c r="D18" s="120" t="s">
        <v>28</v>
      </c>
      <c r="E18" s="124">
        <f t="shared" si="5"/>
        <v>-40.688</v>
      </c>
      <c r="F18" s="125">
        <f t="shared" si="6"/>
        <v>-58.40941717</v>
      </c>
      <c r="G18" s="120" t="s">
        <v>30</v>
      </c>
      <c r="H18" s="120" t="s">
        <v>18</v>
      </c>
      <c r="I18" s="121">
        <f t="shared" si="7"/>
        <v>19344</v>
      </c>
      <c r="J18" s="121">
        <f t="shared" si="8"/>
        <v>25344</v>
      </c>
      <c r="L18" s="120">
        <v>2.0</v>
      </c>
    </row>
    <row r="19">
      <c r="A19" s="126">
        <f t="shared" si="3"/>
        <v>15296</v>
      </c>
      <c r="B19" s="126">
        <f t="shared" si="4"/>
        <v>17643</v>
      </c>
      <c r="C19" s="127" t="s">
        <v>11</v>
      </c>
      <c r="D19" s="127" t="s">
        <v>24</v>
      </c>
      <c r="E19" s="128">
        <f t="shared" si="5"/>
        <v>31.391</v>
      </c>
      <c r="F19" s="125">
        <f t="shared" si="6"/>
        <v>45.06316394</v>
      </c>
      <c r="G19" s="127" t="s">
        <v>16</v>
      </c>
      <c r="H19" s="127" t="s">
        <v>10</v>
      </c>
      <c r="I19" s="126">
        <f t="shared" si="7"/>
        <v>0</v>
      </c>
      <c r="J19" s="126">
        <f t="shared" si="8"/>
        <v>1548</v>
      </c>
      <c r="K19" s="126"/>
      <c r="L19" s="127">
        <v>3.0</v>
      </c>
      <c r="M19" s="107"/>
    </row>
    <row r="20">
      <c r="A20" s="121">
        <f t="shared" si="3"/>
        <v>17191</v>
      </c>
      <c r="B20" s="121">
        <f t="shared" si="4"/>
        <v>705</v>
      </c>
      <c r="C20" s="120" t="s">
        <v>26</v>
      </c>
      <c r="D20" s="120" t="s">
        <v>20</v>
      </c>
      <c r="E20" s="124">
        <f t="shared" si="5"/>
        <v>-0.885</v>
      </c>
      <c r="F20" s="125">
        <f t="shared" si="6"/>
        <v>-1.270456503</v>
      </c>
      <c r="G20" s="120" t="s">
        <v>30</v>
      </c>
      <c r="H20" s="120" t="s">
        <v>10</v>
      </c>
      <c r="I20" s="121">
        <f t="shared" si="7"/>
        <v>2795</v>
      </c>
      <c r="J20" s="121">
        <f t="shared" si="8"/>
        <v>15986</v>
      </c>
      <c r="L20" s="120">
        <v>4.0</v>
      </c>
    </row>
    <row r="21">
      <c r="A21" s="121">
        <f t="shared" si="3"/>
        <v>15844</v>
      </c>
      <c r="B21" s="121">
        <f t="shared" si="4"/>
        <v>12028</v>
      </c>
      <c r="C21" s="120" t="s">
        <v>12</v>
      </c>
      <c r="D21" s="120" t="s">
        <v>18</v>
      </c>
      <c r="E21" s="124">
        <f t="shared" si="5"/>
        <v>10.556</v>
      </c>
      <c r="F21" s="125">
        <f t="shared" si="6"/>
        <v>15.15360322</v>
      </c>
      <c r="G21" s="120" t="s">
        <v>14</v>
      </c>
      <c r="H21" s="120" t="s">
        <v>24</v>
      </c>
      <c r="I21" s="121">
        <f t="shared" si="7"/>
        <v>17316</v>
      </c>
      <c r="J21" s="121">
        <f t="shared" si="8"/>
        <v>0</v>
      </c>
      <c r="L21" s="120">
        <v>5.0</v>
      </c>
    </row>
    <row r="22">
      <c r="A22" s="121">
        <f t="shared" si="3"/>
        <v>0</v>
      </c>
      <c r="B22" s="121">
        <f t="shared" si="4"/>
        <v>0</v>
      </c>
      <c r="C22" s="120" t="s">
        <v>31</v>
      </c>
      <c r="D22" s="120" t="s">
        <v>28</v>
      </c>
      <c r="E22" s="124">
        <f t="shared" si="5"/>
        <v>-34.27</v>
      </c>
      <c r="F22" s="125">
        <f t="shared" si="6"/>
        <v>-49.19609532</v>
      </c>
      <c r="G22" s="120" t="s">
        <v>11</v>
      </c>
      <c r="H22" s="120" t="s">
        <v>16</v>
      </c>
      <c r="I22" s="121">
        <f t="shared" si="7"/>
        <v>16159</v>
      </c>
      <c r="J22" s="121">
        <f t="shared" si="8"/>
        <v>18111</v>
      </c>
      <c r="L22" s="120">
        <v>6.0</v>
      </c>
    </row>
    <row r="23">
      <c r="A23" s="57">
        <f t="shared" si="3"/>
        <v>24507</v>
      </c>
      <c r="B23" s="57">
        <f t="shared" si="4"/>
        <v>10521</v>
      </c>
      <c r="C23" s="129" t="s">
        <v>26</v>
      </c>
      <c r="D23" s="129" t="s">
        <v>22</v>
      </c>
      <c r="E23" s="130">
        <f t="shared" si="5"/>
        <v>21.063</v>
      </c>
      <c r="F23" s="125">
        <f t="shared" si="6"/>
        <v>30.23686477</v>
      </c>
      <c r="G23" s="129" t="s">
        <v>12</v>
      </c>
      <c r="H23" s="129" t="s">
        <v>10</v>
      </c>
      <c r="I23" s="57">
        <f t="shared" si="7"/>
        <v>5295</v>
      </c>
      <c r="J23" s="57">
        <f t="shared" si="8"/>
        <v>8670</v>
      </c>
      <c r="K23" s="57"/>
      <c r="L23" s="129">
        <v>7.0</v>
      </c>
      <c r="M23" s="107"/>
    </row>
    <row r="24">
      <c r="A24" s="121">
        <f t="shared" si="3"/>
        <v>153</v>
      </c>
      <c r="B24" s="121">
        <f t="shared" si="4"/>
        <v>0</v>
      </c>
      <c r="C24" s="120" t="s">
        <v>31</v>
      </c>
      <c r="D24" s="120" t="s">
        <v>24</v>
      </c>
      <c r="E24" s="124">
        <f t="shared" si="5"/>
        <v>-27.722</v>
      </c>
      <c r="F24" s="125">
        <f t="shared" si="6"/>
        <v>-39.79615274</v>
      </c>
      <c r="G24" s="120" t="s">
        <v>30</v>
      </c>
      <c r="H24" s="120" t="s">
        <v>11</v>
      </c>
      <c r="I24" s="121">
        <f t="shared" si="7"/>
        <v>14611</v>
      </c>
      <c r="J24" s="121">
        <f t="shared" si="8"/>
        <v>13264</v>
      </c>
      <c r="L24" s="120">
        <v>8.0</v>
      </c>
    </row>
    <row r="25">
      <c r="A25" s="126">
        <f t="shared" si="3"/>
        <v>4895</v>
      </c>
      <c r="B25" s="126">
        <f t="shared" si="4"/>
        <v>0</v>
      </c>
      <c r="C25" s="127" t="s">
        <v>14</v>
      </c>
      <c r="D25" s="127" t="s">
        <v>16</v>
      </c>
      <c r="E25" s="128">
        <f t="shared" si="5"/>
        <v>-35.003</v>
      </c>
      <c r="F25" s="125">
        <f t="shared" si="6"/>
        <v>-50.24834912</v>
      </c>
      <c r="G25" s="127" t="s">
        <v>28</v>
      </c>
      <c r="H25" s="127" t="s">
        <v>20</v>
      </c>
      <c r="I25" s="126">
        <f t="shared" si="7"/>
        <v>22949</v>
      </c>
      <c r="J25" s="126">
        <f t="shared" si="8"/>
        <v>16949</v>
      </c>
      <c r="K25" s="126"/>
      <c r="L25" s="127">
        <v>9.0</v>
      </c>
      <c r="M25" s="107"/>
    </row>
    <row r="26">
      <c r="A26" s="121">
        <f t="shared" si="3"/>
        <v>11869</v>
      </c>
      <c r="B26" s="121">
        <f t="shared" si="4"/>
        <v>6869</v>
      </c>
      <c r="C26" s="120" t="s">
        <v>18</v>
      </c>
      <c r="D26" s="120" t="s">
        <v>22</v>
      </c>
      <c r="E26" s="124">
        <f t="shared" si="5"/>
        <v>9.843</v>
      </c>
      <c r="F26" s="125">
        <f t="shared" si="6"/>
        <v>14.13006029</v>
      </c>
      <c r="G26" s="120" t="s">
        <v>31</v>
      </c>
      <c r="H26" s="120" t="s">
        <v>16</v>
      </c>
      <c r="I26" s="121">
        <f t="shared" si="7"/>
        <v>8895</v>
      </c>
      <c r="J26" s="121">
        <f t="shared" si="8"/>
        <v>0</v>
      </c>
      <c r="L26" s="120">
        <v>10.0</v>
      </c>
    </row>
    <row r="27">
      <c r="A27" s="121">
        <f t="shared" si="3"/>
        <v>6469</v>
      </c>
      <c r="B27" s="121">
        <f t="shared" si="4"/>
        <v>0</v>
      </c>
      <c r="C27" s="120" t="s">
        <v>26</v>
      </c>
      <c r="D27" s="120" t="s">
        <v>28</v>
      </c>
      <c r="E27" s="124">
        <f t="shared" si="5"/>
        <v>-29.034</v>
      </c>
      <c r="F27" s="125">
        <f t="shared" si="6"/>
        <v>-41.67958656</v>
      </c>
      <c r="G27" s="120" t="s">
        <v>12</v>
      </c>
      <c r="H27" s="120" t="s">
        <v>11</v>
      </c>
      <c r="I27" s="121">
        <f t="shared" si="7"/>
        <v>23333</v>
      </c>
      <c r="J27" s="121">
        <f t="shared" si="8"/>
        <v>12170</v>
      </c>
      <c r="L27" s="120">
        <v>11.0</v>
      </c>
    </row>
    <row r="28">
      <c r="A28" s="121">
        <f t="shared" si="3"/>
        <v>2000</v>
      </c>
      <c r="B28" s="121">
        <f t="shared" si="4"/>
        <v>0</v>
      </c>
      <c r="C28" s="120" t="s">
        <v>14</v>
      </c>
      <c r="D28" s="120" t="s">
        <v>30</v>
      </c>
      <c r="E28" s="124">
        <f t="shared" si="5"/>
        <v>-40.188</v>
      </c>
      <c r="F28" s="125">
        <f t="shared" si="6"/>
        <v>-57.69164513</v>
      </c>
      <c r="G28" s="120" t="s">
        <v>24</v>
      </c>
      <c r="H28" s="120" t="s">
        <v>20</v>
      </c>
      <c r="I28" s="121">
        <f t="shared" si="7"/>
        <v>22344</v>
      </c>
      <c r="J28" s="121">
        <f t="shared" si="8"/>
        <v>19844</v>
      </c>
      <c r="L28" s="120">
        <v>12.0</v>
      </c>
    </row>
    <row r="29">
      <c r="A29" s="57">
        <f t="shared" si="3"/>
        <v>0</v>
      </c>
      <c r="B29" s="57">
        <f t="shared" si="4"/>
        <v>0</v>
      </c>
      <c r="C29" s="129" t="s">
        <v>26</v>
      </c>
      <c r="D29" s="129" t="s">
        <v>18</v>
      </c>
      <c r="E29" s="130">
        <f t="shared" si="5"/>
        <v>-47.867</v>
      </c>
      <c r="F29" s="125">
        <f t="shared" si="6"/>
        <v>-68.71518806</v>
      </c>
      <c r="G29" s="129" t="s">
        <v>16</v>
      </c>
      <c r="H29" s="129" t="s">
        <v>20</v>
      </c>
      <c r="I29" s="57">
        <f t="shared" si="7"/>
        <v>24986</v>
      </c>
      <c r="J29" s="57">
        <f t="shared" si="8"/>
        <v>22881</v>
      </c>
      <c r="K29" s="57"/>
      <c r="L29" s="129">
        <v>13.0</v>
      </c>
      <c r="M29" s="107"/>
    </row>
    <row r="30">
      <c r="A30" s="121">
        <f t="shared" si="3"/>
        <v>7000</v>
      </c>
      <c r="B30" s="121">
        <f t="shared" si="4"/>
        <v>0</v>
      </c>
      <c r="C30" s="120" t="s">
        <v>10</v>
      </c>
      <c r="D30" s="120" t="s">
        <v>22</v>
      </c>
      <c r="E30" s="124">
        <f t="shared" si="5"/>
        <v>-20.882</v>
      </c>
      <c r="F30" s="125">
        <f t="shared" si="6"/>
        <v>-29.97703129</v>
      </c>
      <c r="G30" s="120" t="s">
        <v>24</v>
      </c>
      <c r="H30" s="120" t="s">
        <v>28</v>
      </c>
      <c r="I30" s="121">
        <f t="shared" si="7"/>
        <v>12191</v>
      </c>
      <c r="J30" s="121">
        <f t="shared" si="8"/>
        <v>15691</v>
      </c>
      <c r="L30" s="120">
        <v>14.0</v>
      </c>
    </row>
    <row r="31">
      <c r="A31" s="126">
        <f t="shared" si="3"/>
        <v>30660</v>
      </c>
      <c r="B31" s="126">
        <f t="shared" si="4"/>
        <v>20896</v>
      </c>
      <c r="C31" s="127" t="s">
        <v>31</v>
      </c>
      <c r="D31" s="127" t="s">
        <v>30</v>
      </c>
      <c r="E31" s="128">
        <f t="shared" si="5"/>
        <v>49.108</v>
      </c>
      <c r="F31" s="125">
        <f t="shared" si="6"/>
        <v>70.49669825</v>
      </c>
      <c r="G31" s="127" t="s">
        <v>12</v>
      </c>
      <c r="H31" s="127" t="s">
        <v>14</v>
      </c>
      <c r="I31" s="126">
        <f t="shared" si="7"/>
        <v>0</v>
      </c>
      <c r="J31" s="126">
        <f t="shared" si="8"/>
        <v>2448</v>
      </c>
      <c r="K31" s="126"/>
      <c r="L31" s="127">
        <v>15.0</v>
      </c>
    </row>
    <row r="32">
      <c r="A32" s="121">
        <f t="shared" si="3"/>
        <v>0</v>
      </c>
      <c r="B32" s="121">
        <f t="shared" si="4"/>
        <v>2347</v>
      </c>
      <c r="C32" s="120" t="s">
        <v>11</v>
      </c>
      <c r="D32" s="120" t="s">
        <v>22</v>
      </c>
      <c r="E32" s="124">
        <f t="shared" si="5"/>
        <v>-3.459</v>
      </c>
      <c r="F32" s="125">
        <f t="shared" si="6"/>
        <v>-4.965546942</v>
      </c>
      <c r="G32" s="120" t="s">
        <v>30</v>
      </c>
      <c r="H32" s="120" t="s">
        <v>20</v>
      </c>
      <c r="I32" s="121">
        <f t="shared" si="7"/>
        <v>3653</v>
      </c>
      <c r="J32" s="121">
        <f t="shared" si="8"/>
        <v>2153</v>
      </c>
      <c r="L32" s="120">
        <v>16.0</v>
      </c>
    </row>
    <row r="33">
      <c r="A33" s="121">
        <f t="shared" si="3"/>
        <v>16080</v>
      </c>
      <c r="B33" s="121">
        <f t="shared" si="4"/>
        <v>8889</v>
      </c>
      <c r="C33" s="120" t="s">
        <v>10</v>
      </c>
      <c r="D33" s="120" t="s">
        <v>18</v>
      </c>
      <c r="E33" s="124">
        <f t="shared" si="5"/>
        <v>1.167</v>
      </c>
      <c r="F33" s="125">
        <f t="shared" si="6"/>
        <v>1.675279931</v>
      </c>
      <c r="G33" s="120" t="s">
        <v>31</v>
      </c>
      <c r="H33" s="120" t="s">
        <v>12</v>
      </c>
      <c r="I33" s="121">
        <f t="shared" si="7"/>
        <v>11875</v>
      </c>
      <c r="J33" s="121">
        <f t="shared" si="8"/>
        <v>11927</v>
      </c>
      <c r="L33" s="120">
        <v>17.0</v>
      </c>
      <c r="M33" s="107"/>
    </row>
    <row r="34">
      <c r="A34" s="121">
        <f t="shared" si="3"/>
        <v>6605</v>
      </c>
      <c r="B34" s="121">
        <f t="shared" si="4"/>
        <v>0</v>
      </c>
      <c r="C34" s="120" t="s">
        <v>26</v>
      </c>
      <c r="D34" s="120" t="s">
        <v>24</v>
      </c>
      <c r="E34" s="124">
        <f t="shared" si="5"/>
        <v>-25.262</v>
      </c>
      <c r="F34" s="125">
        <f t="shared" si="6"/>
        <v>-36.26471433</v>
      </c>
      <c r="G34" s="120" t="s">
        <v>16</v>
      </c>
      <c r="H34" s="120" t="s">
        <v>28</v>
      </c>
      <c r="I34" s="121">
        <f t="shared" si="7"/>
        <v>13986</v>
      </c>
      <c r="J34" s="121">
        <f t="shared" si="8"/>
        <v>17881</v>
      </c>
      <c r="L34" s="120">
        <v>18.0</v>
      </c>
    </row>
    <row r="35">
      <c r="A35" s="57">
        <f t="shared" si="3"/>
        <v>8653</v>
      </c>
      <c r="B35" s="57">
        <f t="shared" si="4"/>
        <v>6858</v>
      </c>
      <c r="C35" s="129" t="s">
        <v>26</v>
      </c>
      <c r="D35" s="129" t="s">
        <v>10</v>
      </c>
      <c r="E35" s="130">
        <f t="shared" si="5"/>
        <v>-26.499</v>
      </c>
      <c r="F35" s="125">
        <f t="shared" si="6"/>
        <v>-38.04048234</v>
      </c>
      <c r="G35" s="129" t="s">
        <v>14</v>
      </c>
      <c r="H35" s="129" t="s">
        <v>22</v>
      </c>
      <c r="I35" s="57">
        <f t="shared" si="7"/>
        <v>29677</v>
      </c>
      <c r="J35" s="57">
        <f t="shared" si="8"/>
        <v>12333</v>
      </c>
      <c r="K35" s="57"/>
      <c r="L35" s="129">
        <v>19.0</v>
      </c>
    </row>
    <row r="36">
      <c r="A36" s="121">
        <f t="shared" si="3"/>
        <v>1000</v>
      </c>
      <c r="B36" s="121">
        <f t="shared" si="4"/>
        <v>8347</v>
      </c>
      <c r="C36" s="120" t="s">
        <v>11</v>
      </c>
      <c r="D36" s="120" t="s">
        <v>18</v>
      </c>
      <c r="E36" s="124">
        <f t="shared" si="5"/>
        <v>-0.459</v>
      </c>
      <c r="F36" s="125">
        <f t="shared" si="6"/>
        <v>-0.6589147287</v>
      </c>
      <c r="G36" s="120" t="s">
        <v>30</v>
      </c>
      <c r="H36" s="120" t="s">
        <v>28</v>
      </c>
      <c r="I36" s="121">
        <f t="shared" si="7"/>
        <v>2653</v>
      </c>
      <c r="J36" s="121">
        <f t="shared" si="8"/>
        <v>7153</v>
      </c>
      <c r="L36" s="120">
        <v>20.0</v>
      </c>
    </row>
    <row r="37">
      <c r="A37" s="126">
        <f t="shared" si="3"/>
        <v>5605</v>
      </c>
      <c r="B37" s="126">
        <f t="shared" si="4"/>
        <v>0</v>
      </c>
      <c r="C37" s="127" t="s">
        <v>12</v>
      </c>
      <c r="D37" s="127" t="s">
        <v>20</v>
      </c>
      <c r="E37" s="128">
        <f t="shared" si="5"/>
        <v>-14.422</v>
      </c>
      <c r="F37" s="125">
        <f t="shared" si="6"/>
        <v>-20.70341659</v>
      </c>
      <c r="G37" s="127" t="s">
        <v>16</v>
      </c>
      <c r="H37" s="127" t="s">
        <v>24</v>
      </c>
      <c r="I37" s="126">
        <f t="shared" si="7"/>
        <v>9816</v>
      </c>
      <c r="J37" s="126">
        <f t="shared" si="8"/>
        <v>10211</v>
      </c>
      <c r="K37" s="126"/>
      <c r="L37" s="127">
        <v>21.0</v>
      </c>
      <c r="M37" s="107"/>
    </row>
    <row r="38">
      <c r="A38" s="121">
        <f t="shared" si="3"/>
        <v>13591</v>
      </c>
      <c r="B38" s="121">
        <f t="shared" si="4"/>
        <v>8275</v>
      </c>
      <c r="C38" s="120" t="s">
        <v>12</v>
      </c>
      <c r="D38" s="120" t="s">
        <v>28</v>
      </c>
      <c r="E38" s="124">
        <f t="shared" si="5"/>
        <v>3.825</v>
      </c>
      <c r="F38" s="125">
        <f t="shared" si="6"/>
        <v>5.490956072</v>
      </c>
      <c r="G38" s="120" t="s">
        <v>26</v>
      </c>
      <c r="H38" s="120" t="s">
        <v>16</v>
      </c>
      <c r="I38" s="121">
        <f t="shared" si="7"/>
        <v>16211</v>
      </c>
      <c r="J38" s="121">
        <f t="shared" si="8"/>
        <v>1830</v>
      </c>
      <c r="L38" s="120">
        <v>22.0</v>
      </c>
    </row>
    <row r="39">
      <c r="A39" s="121">
        <f t="shared" si="3"/>
        <v>8344</v>
      </c>
      <c r="B39" s="121">
        <f t="shared" si="4"/>
        <v>0</v>
      </c>
      <c r="C39" s="120" t="s">
        <v>14</v>
      </c>
      <c r="D39" s="120" t="s">
        <v>18</v>
      </c>
      <c r="E39" s="124">
        <f t="shared" si="5"/>
        <v>-33.5</v>
      </c>
      <c r="F39" s="125">
        <f t="shared" si="6"/>
        <v>-48.09072639</v>
      </c>
      <c r="G39" s="120" t="s">
        <v>11</v>
      </c>
      <c r="H39" s="120" t="s">
        <v>10</v>
      </c>
      <c r="I39" s="121">
        <f t="shared" si="7"/>
        <v>13653</v>
      </c>
      <c r="J39" s="121">
        <f t="shared" si="8"/>
        <v>28191</v>
      </c>
      <c r="L39" s="120">
        <v>23.0</v>
      </c>
    </row>
    <row r="40">
      <c r="A40" s="121">
        <f t="shared" si="3"/>
        <v>2500</v>
      </c>
      <c r="B40" s="121">
        <f t="shared" si="4"/>
        <v>0</v>
      </c>
      <c r="C40" s="120" t="s">
        <v>31</v>
      </c>
      <c r="D40" s="120" t="s">
        <v>22</v>
      </c>
      <c r="E40" s="124">
        <f t="shared" si="5"/>
        <v>-23.028</v>
      </c>
      <c r="F40" s="125">
        <f t="shared" si="6"/>
        <v>-33.05770887</v>
      </c>
      <c r="G40" s="120" t="s">
        <v>30</v>
      </c>
      <c r="H40" s="120" t="s">
        <v>24</v>
      </c>
      <c r="I40" s="121">
        <f t="shared" si="7"/>
        <v>12264</v>
      </c>
      <c r="J40" s="121">
        <f t="shared" si="8"/>
        <v>13264</v>
      </c>
      <c r="L40" s="120">
        <v>24.0</v>
      </c>
    </row>
    <row r="41">
      <c r="A41" s="57">
        <f t="shared" si="3"/>
        <v>19611</v>
      </c>
      <c r="B41" s="57">
        <f t="shared" si="4"/>
        <v>3278</v>
      </c>
      <c r="C41" s="129" t="s">
        <v>26</v>
      </c>
      <c r="D41" s="129" t="s">
        <v>11</v>
      </c>
      <c r="E41" s="130">
        <f t="shared" si="5"/>
        <v>6.375</v>
      </c>
      <c r="F41" s="125">
        <f t="shared" si="6"/>
        <v>9.151593454</v>
      </c>
      <c r="G41" s="129" t="s">
        <v>31</v>
      </c>
      <c r="H41" s="129" t="s">
        <v>18</v>
      </c>
      <c r="I41" s="57">
        <f t="shared" si="7"/>
        <v>10139</v>
      </c>
      <c r="J41" s="57">
        <f t="shared" si="8"/>
        <v>6375</v>
      </c>
      <c r="K41" s="57"/>
      <c r="L41" s="129">
        <v>25.0</v>
      </c>
    </row>
    <row r="42">
      <c r="A42" s="121">
        <f t="shared" si="3"/>
        <v>0</v>
      </c>
      <c r="B42" s="121">
        <f t="shared" si="4"/>
        <v>0</v>
      </c>
      <c r="C42" s="120" t="s">
        <v>14</v>
      </c>
      <c r="D42" s="120" t="s">
        <v>10</v>
      </c>
      <c r="E42" s="124">
        <f t="shared" si="5"/>
        <v>-67.465</v>
      </c>
      <c r="F42" s="125">
        <f t="shared" si="6"/>
        <v>-96.84898076</v>
      </c>
      <c r="G42" s="120" t="s">
        <v>30</v>
      </c>
      <c r="H42" s="120" t="s">
        <v>16</v>
      </c>
      <c r="I42" s="121">
        <f t="shared" si="7"/>
        <v>33430</v>
      </c>
      <c r="J42" s="121">
        <f t="shared" si="8"/>
        <v>34035</v>
      </c>
      <c r="L42" s="120">
        <v>26.0</v>
      </c>
    </row>
    <row r="43">
      <c r="A43" s="126">
        <f t="shared" si="3"/>
        <v>14816</v>
      </c>
      <c r="B43" s="126">
        <f t="shared" si="4"/>
        <v>12316</v>
      </c>
      <c r="C43" s="127" t="s">
        <v>22</v>
      </c>
      <c r="D43" s="127" t="s">
        <v>20</v>
      </c>
      <c r="E43" s="128">
        <f t="shared" si="5"/>
        <v>26.132</v>
      </c>
      <c r="F43" s="125">
        <f t="shared" si="6"/>
        <v>37.51363767</v>
      </c>
      <c r="G43" s="127" t="s">
        <v>12</v>
      </c>
      <c r="H43" s="127" t="s">
        <v>24</v>
      </c>
      <c r="I43" s="126">
        <f t="shared" si="7"/>
        <v>1000</v>
      </c>
      <c r="J43" s="126">
        <f t="shared" si="8"/>
        <v>0</v>
      </c>
      <c r="K43" s="126"/>
      <c r="L43" s="127">
        <v>27.0</v>
      </c>
    </row>
    <row r="44">
      <c r="A44" s="121">
        <f t="shared" si="3"/>
        <v>0</v>
      </c>
      <c r="B44" s="121">
        <f t="shared" si="4"/>
        <v>0</v>
      </c>
      <c r="C44" s="120" t="s">
        <v>31</v>
      </c>
      <c r="D44" s="120" t="s">
        <v>10</v>
      </c>
      <c r="E44" s="124">
        <f t="shared" si="5"/>
        <v>-46.41</v>
      </c>
      <c r="F44" s="125">
        <f t="shared" si="6"/>
        <v>-66.62360034</v>
      </c>
      <c r="G44" s="120" t="s">
        <v>18</v>
      </c>
      <c r="H44" s="120" t="s">
        <v>20</v>
      </c>
      <c r="I44" s="121">
        <f t="shared" si="7"/>
        <v>26955</v>
      </c>
      <c r="J44" s="121">
        <f t="shared" si="8"/>
        <v>19455</v>
      </c>
      <c r="L44" s="120">
        <v>28.0</v>
      </c>
    </row>
    <row r="45">
      <c r="A45" s="121">
        <f t="shared" si="3"/>
        <v>14268</v>
      </c>
      <c r="B45" s="121">
        <f t="shared" si="4"/>
        <v>0</v>
      </c>
      <c r="C45" s="120" t="s">
        <v>14</v>
      </c>
      <c r="D45" s="120" t="s">
        <v>11</v>
      </c>
      <c r="E45" s="124">
        <f t="shared" si="5"/>
        <v>-14.305</v>
      </c>
      <c r="F45" s="125">
        <f t="shared" si="6"/>
        <v>-20.53545794</v>
      </c>
      <c r="G45" s="120" t="s">
        <v>12</v>
      </c>
      <c r="H45" s="120" t="s">
        <v>16</v>
      </c>
      <c r="I45" s="121">
        <f t="shared" si="7"/>
        <v>18892</v>
      </c>
      <c r="J45" s="121">
        <f t="shared" si="8"/>
        <v>9681</v>
      </c>
      <c r="L45" s="120">
        <v>29.0</v>
      </c>
    </row>
    <row r="46">
      <c r="A46" s="121">
        <f t="shared" si="3"/>
        <v>8000</v>
      </c>
      <c r="B46" s="121">
        <f t="shared" si="4"/>
        <v>0</v>
      </c>
      <c r="C46" s="120" t="s">
        <v>26</v>
      </c>
      <c r="D46" s="120" t="s">
        <v>30</v>
      </c>
      <c r="E46" s="124">
        <f t="shared" si="5"/>
        <v>-21.472</v>
      </c>
      <c r="F46" s="125">
        <f t="shared" si="6"/>
        <v>-30.8240023</v>
      </c>
      <c r="G46" s="120" t="s">
        <v>28</v>
      </c>
      <c r="H46" s="120" t="s">
        <v>22</v>
      </c>
      <c r="I46" s="121">
        <f t="shared" si="7"/>
        <v>16486</v>
      </c>
      <c r="J46" s="121">
        <f t="shared" si="8"/>
        <v>12986</v>
      </c>
      <c r="L46" s="120">
        <v>30.0</v>
      </c>
    </row>
    <row r="47">
      <c r="A47" s="57">
        <f t="shared" si="3"/>
        <v>0</v>
      </c>
      <c r="B47" s="57">
        <f t="shared" si="4"/>
        <v>0</v>
      </c>
      <c r="C47" s="129" t="s">
        <v>26</v>
      </c>
      <c r="D47" s="129" t="s">
        <v>14</v>
      </c>
      <c r="E47" s="130">
        <f t="shared" si="5"/>
        <v>-69.66</v>
      </c>
      <c r="F47" s="125">
        <f t="shared" si="6"/>
        <v>-100</v>
      </c>
      <c r="G47" s="129" t="s">
        <v>24</v>
      </c>
      <c r="H47" s="129" t="s">
        <v>22</v>
      </c>
      <c r="I47" s="57">
        <f t="shared" si="7"/>
        <v>34830</v>
      </c>
      <c r="J47" s="57">
        <f t="shared" si="8"/>
        <v>34830</v>
      </c>
      <c r="K47" s="57"/>
      <c r="L47" s="129">
        <v>31.0</v>
      </c>
    </row>
    <row r="48">
      <c r="A48" s="121">
        <f t="shared" si="3"/>
        <v>13663</v>
      </c>
      <c r="B48" s="121">
        <f t="shared" si="4"/>
        <v>2552</v>
      </c>
      <c r="C48" s="120" t="s">
        <v>31</v>
      </c>
      <c r="D48" s="120" t="s">
        <v>11</v>
      </c>
      <c r="E48" s="124">
        <f t="shared" si="5"/>
        <v>4.197</v>
      </c>
      <c r="F48" s="125">
        <f t="shared" si="6"/>
        <v>6.024978467</v>
      </c>
      <c r="G48" s="120" t="s">
        <v>12</v>
      </c>
      <c r="H48" s="120" t="s">
        <v>30</v>
      </c>
      <c r="I48" s="121">
        <f t="shared" si="7"/>
        <v>10917</v>
      </c>
      <c r="J48" s="121">
        <f t="shared" si="8"/>
        <v>1101</v>
      </c>
      <c r="L48" s="120">
        <v>32.0</v>
      </c>
    </row>
    <row r="49">
      <c r="A49" s="126">
        <f t="shared" si="3"/>
        <v>14500</v>
      </c>
      <c r="B49" s="126">
        <f t="shared" si="4"/>
        <v>0</v>
      </c>
      <c r="C49" s="127" t="s">
        <v>10</v>
      </c>
      <c r="D49" s="127" t="s">
        <v>20</v>
      </c>
      <c r="E49" s="128">
        <f t="shared" si="5"/>
        <v>-3.382</v>
      </c>
      <c r="F49" s="125">
        <f t="shared" si="6"/>
        <v>-4.855010049</v>
      </c>
      <c r="G49" s="127" t="s">
        <v>18</v>
      </c>
      <c r="H49" s="127" t="s">
        <v>28</v>
      </c>
      <c r="I49" s="126">
        <f t="shared" si="7"/>
        <v>9691</v>
      </c>
      <c r="J49" s="126">
        <f t="shared" si="8"/>
        <v>8191</v>
      </c>
      <c r="K49" s="126"/>
      <c r="L49" s="127">
        <v>33.0</v>
      </c>
    </row>
    <row r="50">
      <c r="A50" s="121">
        <f t="shared" si="3"/>
        <v>1847</v>
      </c>
      <c r="B50" s="121">
        <f t="shared" si="4"/>
        <v>10427</v>
      </c>
      <c r="C50" s="120" t="s">
        <v>31</v>
      </c>
      <c r="D50" s="120" t="s">
        <v>14</v>
      </c>
      <c r="E50" s="124">
        <f t="shared" si="5"/>
        <v>-31.251</v>
      </c>
      <c r="F50" s="125">
        <f t="shared" si="6"/>
        <v>-44.86218777</v>
      </c>
      <c r="G50" s="120" t="s">
        <v>10</v>
      </c>
      <c r="H50" s="120" t="s">
        <v>28</v>
      </c>
      <c r="I50" s="121">
        <f t="shared" si="7"/>
        <v>26108</v>
      </c>
      <c r="J50" s="121">
        <f t="shared" si="8"/>
        <v>17417</v>
      </c>
      <c r="L50" s="120">
        <v>34.0</v>
      </c>
    </row>
    <row r="51">
      <c r="A51" s="121">
        <f t="shared" si="3"/>
        <v>5605</v>
      </c>
      <c r="B51" s="121">
        <f t="shared" si="4"/>
        <v>5452</v>
      </c>
      <c r="C51" s="120" t="s">
        <v>11</v>
      </c>
      <c r="D51" s="120" t="s">
        <v>20</v>
      </c>
      <c r="E51" s="124">
        <f t="shared" si="5"/>
        <v>11.057</v>
      </c>
      <c r="F51" s="125">
        <f t="shared" si="6"/>
        <v>15.8728108</v>
      </c>
      <c r="G51" s="120" t="s">
        <v>16</v>
      </c>
      <c r="H51" s="120" t="s">
        <v>22</v>
      </c>
      <c r="I51" s="121">
        <f t="shared" si="7"/>
        <v>0</v>
      </c>
      <c r="J51" s="121">
        <f t="shared" si="8"/>
        <v>0</v>
      </c>
      <c r="L51" s="120">
        <v>35.0</v>
      </c>
    </row>
    <row r="52">
      <c r="A52" s="121">
        <f t="shared" si="3"/>
        <v>21302</v>
      </c>
      <c r="B52" s="121">
        <f t="shared" si="4"/>
        <v>26302</v>
      </c>
      <c r="C52" s="120" t="s">
        <v>24</v>
      </c>
      <c r="D52" s="120" t="s">
        <v>18</v>
      </c>
      <c r="E52" s="124">
        <f t="shared" si="5"/>
        <v>47.604</v>
      </c>
      <c r="F52" s="125">
        <f t="shared" si="6"/>
        <v>68.33763997</v>
      </c>
      <c r="G52" s="120" t="s">
        <v>26</v>
      </c>
      <c r="H52" s="120" t="s">
        <v>12</v>
      </c>
      <c r="I52" s="121">
        <f t="shared" si="7"/>
        <v>0</v>
      </c>
      <c r="J52" s="121">
        <f t="shared" si="8"/>
        <v>0</v>
      </c>
      <c r="L52" s="120">
        <v>36.0</v>
      </c>
    </row>
    <row r="53">
      <c r="A53" s="57">
        <f t="shared" si="3"/>
        <v>9580</v>
      </c>
      <c r="B53" s="57">
        <f t="shared" si="4"/>
        <v>4358</v>
      </c>
      <c r="C53" s="129" t="s">
        <v>26</v>
      </c>
      <c r="D53" s="129" t="s">
        <v>31</v>
      </c>
      <c r="E53" s="130">
        <f t="shared" si="5"/>
        <v>-23.718</v>
      </c>
      <c r="F53" s="125">
        <f t="shared" si="6"/>
        <v>-34.04823428</v>
      </c>
      <c r="G53" s="129" t="s">
        <v>14</v>
      </c>
      <c r="H53" s="129" t="s">
        <v>20</v>
      </c>
      <c r="I53" s="57">
        <f t="shared" si="7"/>
        <v>28750</v>
      </c>
      <c r="J53" s="57">
        <f t="shared" si="8"/>
        <v>8906</v>
      </c>
      <c r="K53" s="57"/>
      <c r="L53" s="129">
        <v>37.0</v>
      </c>
    </row>
    <row r="54">
      <c r="A54" s="121">
        <f t="shared" si="3"/>
        <v>8105</v>
      </c>
      <c r="B54" s="121">
        <f t="shared" si="4"/>
        <v>9105</v>
      </c>
      <c r="C54" s="120" t="s">
        <v>30</v>
      </c>
      <c r="D54" s="120" t="s">
        <v>22</v>
      </c>
      <c r="E54" s="124">
        <f t="shared" si="5"/>
        <v>14.315</v>
      </c>
      <c r="F54" s="125">
        <f t="shared" si="6"/>
        <v>20.54981338</v>
      </c>
      <c r="G54" s="120" t="s">
        <v>16</v>
      </c>
      <c r="H54" s="120" t="s">
        <v>18</v>
      </c>
      <c r="I54" s="121">
        <f t="shared" si="7"/>
        <v>0</v>
      </c>
      <c r="J54" s="121">
        <f t="shared" si="8"/>
        <v>2895</v>
      </c>
      <c r="L54" s="120">
        <v>38.0</v>
      </c>
    </row>
    <row r="55">
      <c r="A55" s="126">
        <f t="shared" si="3"/>
        <v>12191</v>
      </c>
      <c r="B55" s="126">
        <f t="shared" si="4"/>
        <v>18038</v>
      </c>
      <c r="C55" s="127" t="s">
        <v>11</v>
      </c>
      <c r="D55" s="127" t="s">
        <v>28</v>
      </c>
      <c r="E55" s="128">
        <f t="shared" si="5"/>
        <v>25.576</v>
      </c>
      <c r="F55" s="125">
        <f t="shared" si="6"/>
        <v>36.71547517</v>
      </c>
      <c r="G55" s="127" t="s">
        <v>10</v>
      </c>
      <c r="H55" s="127" t="s">
        <v>24</v>
      </c>
      <c r="I55" s="126">
        <f t="shared" si="7"/>
        <v>4653</v>
      </c>
      <c r="J55" s="126">
        <f t="shared" si="8"/>
        <v>0</v>
      </c>
      <c r="K55" s="126"/>
      <c r="L55" s="127">
        <v>39.0</v>
      </c>
    </row>
    <row r="57">
      <c r="A57" s="126">
        <f t="shared" ref="A57:B57" si="9">MAX(A17:A55)</f>
        <v>30660</v>
      </c>
      <c r="B57" s="126">
        <f t="shared" si="9"/>
        <v>26302</v>
      </c>
      <c r="C57" s="126"/>
      <c r="D57" s="127" t="s">
        <v>136</v>
      </c>
      <c r="E57" s="126">
        <f t="array" ref="E57">MAX(ABS(E17:E55))</f>
        <v>69.66</v>
      </c>
      <c r="F57" s="126"/>
      <c r="G57" s="126"/>
      <c r="H57" s="126"/>
      <c r="I57" s="126">
        <f t="shared" ref="I57:J57" si="10">MAX(I17:I55)</f>
        <v>34830</v>
      </c>
      <c r="J57" s="126">
        <f t="shared" si="10"/>
        <v>34830</v>
      </c>
    </row>
    <row r="58">
      <c r="A58" s="121">
        <f t="shared" ref="A58:B58" si="11">MIN(A17:A55)</f>
        <v>0</v>
      </c>
      <c r="B58" s="121">
        <f t="shared" si="11"/>
        <v>0</v>
      </c>
      <c r="D58" s="120" t="s">
        <v>137</v>
      </c>
      <c r="E58" s="121">
        <f t="array" ref="E58">MIN(ABS(E17:E55))</f>
        <v>0.459</v>
      </c>
      <c r="I58" s="121">
        <f t="shared" ref="I58:J58" si="12">MIN(I17:I55)</f>
        <v>0</v>
      </c>
      <c r="J58" s="121">
        <f t="shared" si="12"/>
        <v>0</v>
      </c>
    </row>
  </sheetData>
  <mergeCells count="12">
    <mergeCell ref="M23:P23"/>
    <mergeCell ref="M25:P25"/>
    <mergeCell ref="M29:P29"/>
    <mergeCell ref="M33:P33"/>
    <mergeCell ref="M37:P37"/>
    <mergeCell ref="H1:I1"/>
    <mergeCell ref="M14:P14"/>
    <mergeCell ref="A15:D15"/>
    <mergeCell ref="G15:J15"/>
    <mergeCell ref="C16:D16"/>
    <mergeCell ref="G16:H16"/>
    <mergeCell ref="M19:P19"/>
  </mergeCells>
  <conditionalFormatting sqref="N15:N18 N20:N22 N24 N26:N28 N30:N32 N34:N36 N38:N42 N44:N46 N48:N53 N55:N57">
    <cfRule type="cellIs" dxfId="18" priority="1" operator="equal">
      <formula>1</formula>
    </cfRule>
  </conditionalFormatting>
  <conditionalFormatting sqref="N15:N18 N20:N22 N24 N26:N28 N30:N32 N34:N36 N38:N42 N44:N46 N48:N53 N55:N57">
    <cfRule type="cellIs" dxfId="19" priority="2" operator="equal">
      <formula>0</formula>
    </cfRule>
  </conditionalFormatting>
  <conditionalFormatting sqref="E17:E55">
    <cfRule type="colorScale" priority="3">
      <colorScale>
        <cfvo type="min"/>
        <cfvo type="formula" val="0"/>
        <cfvo type="max"/>
        <color rgb="FFCC0000"/>
        <color rgb="FF6FA8DC"/>
        <color rgb="FFCC0000"/>
      </colorScale>
    </cfRule>
  </conditionalFormatting>
  <conditionalFormatting sqref="A17:B55">
    <cfRule type="colorScale" priority="4">
      <colorScale>
        <cfvo type="min"/>
        <cfvo type="percentile" val="50"/>
        <cfvo type="max"/>
        <color rgb="FF57BB8A"/>
        <color rgb="FFFFFFFF"/>
        <color rgb="FFE67C73"/>
      </colorScale>
    </cfRule>
  </conditionalFormatting>
  <conditionalFormatting sqref="I17:J55">
    <cfRule type="colorScale" priority="5">
      <colorScale>
        <cfvo type="min"/>
        <cfvo type="percentile" val="50"/>
        <cfvo type="max"/>
        <color rgb="FF57BB8A"/>
        <color rgb="FFFFFFFF"/>
        <color rgb="FFE67C73"/>
      </colorScale>
    </cfRule>
  </conditionalFormatting>
  <conditionalFormatting sqref="I3:I14">
    <cfRule type="colorScale" priority="6">
      <colorScale>
        <cfvo type="min"/>
        <cfvo type="percentile" val="50"/>
        <cfvo type="max"/>
        <color rgb="FF57BB8A"/>
        <color rgb="FFFFFFFF"/>
        <color rgb="FFE67C73"/>
      </colorScale>
    </cfRule>
  </conditionalFormatting>
  <conditionalFormatting sqref="F17:F55">
    <cfRule type="colorScale" priority="7">
      <colorScale>
        <cfvo type="min"/>
        <cfvo type="formula" val="0"/>
        <cfvo type="max"/>
        <color rgb="FFCC0000"/>
        <color rgb="FF6FA8DC"/>
        <color rgb="FFCC0000"/>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38"/>
  </cols>
  <sheetData>
    <row r="1">
      <c r="A1" s="84"/>
      <c r="G1" s="131" t="s">
        <v>138</v>
      </c>
      <c r="H1" s="132"/>
      <c r="I1" s="132"/>
      <c r="J1" s="132"/>
      <c r="K1" s="132"/>
      <c r="L1" s="132"/>
      <c r="M1" s="132"/>
      <c r="N1" s="133"/>
    </row>
    <row r="2">
      <c r="G2" s="134"/>
      <c r="H2" s="135" t="s">
        <v>139</v>
      </c>
      <c r="I2" s="104"/>
      <c r="J2" s="104"/>
      <c r="K2" s="104"/>
      <c r="L2" s="104"/>
      <c r="M2" s="104"/>
      <c r="N2" s="136"/>
    </row>
    <row r="3">
      <c r="A3" s="120" t="s">
        <v>140</v>
      </c>
      <c r="B3" s="120">
        <v>8.0</v>
      </c>
      <c r="C3" s="120" t="s">
        <v>141</v>
      </c>
      <c r="D3" s="120">
        <v>3.0</v>
      </c>
      <c r="G3" s="134"/>
      <c r="H3" s="104"/>
      <c r="I3" s="104"/>
      <c r="J3" s="104"/>
      <c r="K3" s="104"/>
      <c r="L3" s="104"/>
      <c r="M3" s="104"/>
      <c r="N3" s="136"/>
    </row>
    <row r="4">
      <c r="A4" s="85" t="s">
        <v>142</v>
      </c>
      <c r="G4" s="134"/>
      <c r="H4" s="104"/>
      <c r="I4" s="137" t="s">
        <v>143</v>
      </c>
      <c r="K4" s="138"/>
      <c r="L4" s="104"/>
      <c r="M4" s="104"/>
      <c r="N4" s="136"/>
    </row>
    <row r="5">
      <c r="G5" s="134"/>
      <c r="H5" s="104"/>
      <c r="I5" s="139" t="s">
        <v>144</v>
      </c>
      <c r="J5" s="140" t="s">
        <v>145</v>
      </c>
      <c r="K5" s="141" t="s">
        <v>146</v>
      </c>
      <c r="L5" s="104"/>
      <c r="M5" s="104"/>
      <c r="N5" s="136"/>
    </row>
    <row r="6">
      <c r="G6" s="134"/>
      <c r="H6" s="104"/>
      <c r="I6" s="142">
        <v>10.0</v>
      </c>
      <c r="J6" s="104" t="str">
        <f t="shared" ref="J6:J9" si="1">XLOOKUP(I6,$A$8:$A$20,$B$8:$B$20)</f>
        <v>Sean</v>
      </c>
      <c r="K6" s="136" t="s">
        <v>147</v>
      </c>
      <c r="L6" s="104"/>
      <c r="M6" s="104"/>
      <c r="N6" s="136"/>
    </row>
    <row r="7">
      <c r="A7" s="120">
        <v>1.0</v>
      </c>
      <c r="B7" s="120" t="s">
        <v>10</v>
      </c>
      <c r="C7" s="143" t="s">
        <v>148</v>
      </c>
      <c r="G7" s="134"/>
      <c r="H7" s="104"/>
      <c r="I7" s="142">
        <v>11.0</v>
      </c>
      <c r="J7" s="104" t="str">
        <f t="shared" si="1"/>
        <v>Steve</v>
      </c>
      <c r="K7" s="144">
        <v>46023.0</v>
      </c>
      <c r="L7" s="104"/>
      <c r="M7" s="104"/>
      <c r="N7" s="136"/>
    </row>
    <row r="8">
      <c r="A8" s="120">
        <v>2.0</v>
      </c>
      <c r="B8" s="120" t="s">
        <v>11</v>
      </c>
      <c r="G8" s="134"/>
      <c r="H8" s="104"/>
      <c r="I8" s="142">
        <v>12.0</v>
      </c>
      <c r="J8" s="104" t="str">
        <f t="shared" si="1"/>
        <v>Tim</v>
      </c>
      <c r="K8" s="144">
        <v>46023.0</v>
      </c>
      <c r="L8" s="104"/>
      <c r="M8" s="104"/>
      <c r="N8" s="136"/>
    </row>
    <row r="9">
      <c r="A9" s="120">
        <v>3.0</v>
      </c>
      <c r="B9" s="120" t="s">
        <v>12</v>
      </c>
      <c r="C9" s="145" t="s">
        <v>149</v>
      </c>
      <c r="G9" s="134"/>
      <c r="H9" s="104"/>
      <c r="I9" s="142">
        <v>13.0</v>
      </c>
      <c r="J9" s="104" t="str">
        <f t="shared" si="1"/>
        <v>Zach</v>
      </c>
      <c r="K9" s="136" t="s">
        <v>150</v>
      </c>
      <c r="L9" s="104"/>
      <c r="M9" s="104"/>
      <c r="N9" s="136"/>
    </row>
    <row r="10">
      <c r="A10" s="120">
        <v>4.0</v>
      </c>
      <c r="B10" s="120" t="s">
        <v>14</v>
      </c>
      <c r="G10" s="134"/>
      <c r="H10" s="104"/>
      <c r="I10" s="104"/>
      <c r="J10" s="104"/>
      <c r="K10" s="104"/>
      <c r="L10" s="104"/>
      <c r="M10" s="104"/>
      <c r="N10" s="136"/>
    </row>
    <row r="11">
      <c r="A11" s="120">
        <v>5.0</v>
      </c>
      <c r="B11" s="120" t="s">
        <v>16</v>
      </c>
      <c r="G11" s="134"/>
      <c r="H11" s="104"/>
      <c r="I11" s="104"/>
      <c r="J11" s="104"/>
      <c r="K11" s="104"/>
      <c r="L11" s="104"/>
      <c r="M11" s="104"/>
      <c r="N11" s="136"/>
    </row>
    <row r="12">
      <c r="A12" s="120">
        <v>6.0</v>
      </c>
      <c r="B12" s="120" t="s">
        <v>18</v>
      </c>
      <c r="G12" s="134"/>
      <c r="H12" s="104"/>
      <c r="I12" s="103" t="s">
        <v>151</v>
      </c>
      <c r="J12" s="104"/>
      <c r="K12" s="104"/>
      <c r="L12" s="104"/>
      <c r="M12" s="104"/>
      <c r="N12" s="136"/>
      <c r="S12" s="84"/>
    </row>
    <row r="13">
      <c r="A13" s="120">
        <v>7.0</v>
      </c>
      <c r="B13" s="120" t="s">
        <v>20</v>
      </c>
      <c r="G13" s="134"/>
      <c r="H13" s="104"/>
      <c r="I13" s="146" t="s">
        <v>152</v>
      </c>
      <c r="J13" s="135" t="s">
        <v>153</v>
      </c>
      <c r="K13" s="104"/>
      <c r="L13" s="104"/>
      <c r="M13" s="104"/>
      <c r="N13" s="136"/>
    </row>
    <row r="14">
      <c r="A14" s="120">
        <v>8.0</v>
      </c>
      <c r="B14" s="120" t="s">
        <v>22</v>
      </c>
      <c r="G14" s="134"/>
      <c r="H14" s="104"/>
      <c r="I14" s="147"/>
      <c r="J14" s="147"/>
      <c r="K14" s="104"/>
      <c r="L14" s="104"/>
      <c r="M14" s="104"/>
      <c r="N14" s="136"/>
    </row>
    <row r="15">
      <c r="A15" s="120">
        <v>9.0</v>
      </c>
      <c r="B15" s="120" t="s">
        <v>24</v>
      </c>
      <c r="G15" s="134"/>
      <c r="H15" s="104"/>
      <c r="I15" s="135" t="s">
        <v>154</v>
      </c>
      <c r="J15" s="146" t="s">
        <v>155</v>
      </c>
      <c r="K15" s="104"/>
      <c r="L15" s="104"/>
      <c r="M15" s="104"/>
      <c r="N15" s="136"/>
    </row>
    <row r="16">
      <c r="G16" s="134"/>
      <c r="H16" s="104"/>
      <c r="I16" s="104"/>
      <c r="J16" s="104"/>
      <c r="K16" s="104"/>
      <c r="L16" s="104"/>
      <c r="M16" s="104"/>
      <c r="N16" s="136"/>
    </row>
    <row r="17">
      <c r="A17" s="120">
        <v>10.0</v>
      </c>
      <c r="B17" s="120" t="s">
        <v>26</v>
      </c>
      <c r="C17" s="148" t="s">
        <v>54</v>
      </c>
      <c r="G17" s="149"/>
      <c r="H17" s="150"/>
      <c r="I17" s="151" t="s">
        <v>156</v>
      </c>
      <c r="J17" s="150"/>
      <c r="K17" s="150"/>
      <c r="L17" s="150"/>
      <c r="M17" s="150"/>
      <c r="N17" s="152"/>
    </row>
    <row r="18">
      <c r="A18" s="120">
        <v>11.0</v>
      </c>
      <c r="B18" s="120" t="s">
        <v>28</v>
      </c>
      <c r="D18" s="153"/>
    </row>
    <row r="19">
      <c r="A19" s="120">
        <v>12.0</v>
      </c>
      <c r="B19" s="120" t="s">
        <v>30</v>
      </c>
      <c r="G19" s="154" t="s">
        <v>157</v>
      </c>
      <c r="H19" s="132"/>
      <c r="I19" s="132"/>
      <c r="J19" s="132"/>
      <c r="K19" s="132"/>
      <c r="L19" s="132"/>
      <c r="M19" s="132"/>
      <c r="N19" s="133"/>
    </row>
    <row r="20">
      <c r="A20" s="120">
        <v>13.0</v>
      </c>
      <c r="B20" s="123" t="s">
        <v>31</v>
      </c>
      <c r="G20" s="155"/>
      <c r="H20" s="120" t="s">
        <v>158</v>
      </c>
      <c r="N20" s="156"/>
    </row>
    <row r="21">
      <c r="G21" s="155"/>
      <c r="N21" s="156"/>
    </row>
    <row r="22">
      <c r="G22" s="155"/>
      <c r="H22" s="84" t="s">
        <v>159</v>
      </c>
      <c r="J22" s="84" t="s">
        <v>160</v>
      </c>
      <c r="N22" s="156"/>
    </row>
    <row r="23">
      <c r="A23" s="153" t="s">
        <v>161</v>
      </c>
      <c r="G23" s="155"/>
      <c r="H23" s="120">
        <v>3.0</v>
      </c>
      <c r="I23" s="104" t="str">
        <f t="shared" ref="I23:I26" si="2">XLOOKUP(H23,$A$8:$A$20,$B$8:$B$20)</f>
        <v>Brian</v>
      </c>
      <c r="J23" s="120">
        <v>7.0</v>
      </c>
      <c r="K23" s="104" t="str">
        <f t="shared" ref="K23:K26" si="3">XLOOKUP(J23,$A$8:$A$20,$B$8:$B$20)</f>
        <v>Fred</v>
      </c>
      <c r="N23" s="156"/>
    </row>
    <row r="24">
      <c r="A24" s="120" t="s">
        <v>49</v>
      </c>
      <c r="B24" s="120" t="s">
        <v>162</v>
      </c>
      <c r="C24" s="120" t="s">
        <v>163</v>
      </c>
      <c r="G24" s="155"/>
      <c r="H24" s="120">
        <v>4.0</v>
      </c>
      <c r="I24" s="104" t="str">
        <f t="shared" si="2"/>
        <v>Dan</v>
      </c>
      <c r="J24" s="120">
        <v>8.0</v>
      </c>
      <c r="K24" s="104" t="str">
        <f t="shared" si="3"/>
        <v>Kevin</v>
      </c>
      <c r="N24" s="156"/>
    </row>
    <row r="25">
      <c r="A25" s="120">
        <v>1.0</v>
      </c>
      <c r="B25" s="120" t="s">
        <v>164</v>
      </c>
      <c r="C25" s="120">
        <v>32.0</v>
      </c>
      <c r="G25" s="155"/>
      <c r="H25" s="120">
        <v>5.0</v>
      </c>
      <c r="I25" s="104" t="str">
        <f t="shared" si="2"/>
        <v>Emanuel</v>
      </c>
      <c r="J25" s="120">
        <v>9.0</v>
      </c>
      <c r="K25" s="104" t="str">
        <f t="shared" si="3"/>
        <v>Michael</v>
      </c>
      <c r="N25" s="156"/>
    </row>
    <row r="26">
      <c r="A26" s="120">
        <v>2.0</v>
      </c>
      <c r="B26" s="120" t="s">
        <v>165</v>
      </c>
      <c r="C26" s="120">
        <v>15.0</v>
      </c>
      <c r="G26" s="155"/>
      <c r="H26" s="120">
        <v>6.0</v>
      </c>
      <c r="I26" s="104" t="str">
        <f t="shared" si="2"/>
        <v>Eric</v>
      </c>
      <c r="J26" s="157">
        <v>11.0</v>
      </c>
      <c r="K26" s="104" t="str">
        <f t="shared" si="3"/>
        <v>Steve</v>
      </c>
      <c r="L26" s="120" t="s">
        <v>166</v>
      </c>
      <c r="N26" s="156"/>
    </row>
    <row r="27">
      <c r="A27" s="120">
        <v>2.0</v>
      </c>
      <c r="B27" s="120" t="s">
        <v>165</v>
      </c>
      <c r="C27" s="120">
        <v>15.0</v>
      </c>
      <c r="G27" s="155"/>
      <c r="H27" s="84"/>
      <c r="N27" s="156"/>
    </row>
    <row r="28">
      <c r="A28" s="120">
        <v>4.0</v>
      </c>
      <c r="B28" s="120" t="s">
        <v>167</v>
      </c>
      <c r="C28" s="120">
        <v>12.0</v>
      </c>
      <c r="G28" s="158" t="s">
        <v>168</v>
      </c>
      <c r="I28" s="138"/>
      <c r="J28" s="158" t="s">
        <v>169</v>
      </c>
      <c r="L28" s="138"/>
      <c r="N28" s="156"/>
    </row>
    <row r="29">
      <c r="A29" s="120">
        <v>5.0</v>
      </c>
      <c r="B29" s="120" t="s">
        <v>170</v>
      </c>
      <c r="C29" s="120">
        <v>10.0</v>
      </c>
      <c r="G29" s="159" t="s">
        <v>144</v>
      </c>
      <c r="H29" s="129" t="s">
        <v>145</v>
      </c>
      <c r="I29" s="160" t="s">
        <v>146</v>
      </c>
      <c r="J29" s="159" t="s">
        <v>144</v>
      </c>
      <c r="K29" s="129" t="s">
        <v>145</v>
      </c>
      <c r="L29" s="160" t="s">
        <v>146</v>
      </c>
      <c r="N29" s="156"/>
    </row>
    <row r="30">
      <c r="A30" s="120">
        <v>5.0</v>
      </c>
      <c r="B30" s="120" t="s">
        <v>170</v>
      </c>
      <c r="C30" s="120">
        <v>10.0</v>
      </c>
      <c r="G30" s="161">
        <v>5.0</v>
      </c>
      <c r="H30" s="104" t="str">
        <f t="shared" ref="H30:H33" si="4">XLOOKUP(G30,$A$8:$A$20,$B$8:$B$20)</f>
        <v>Emanuel</v>
      </c>
      <c r="I30" s="162" t="s">
        <v>147</v>
      </c>
      <c r="J30" s="161">
        <v>4.0</v>
      </c>
      <c r="K30" s="104" t="str">
        <f t="shared" ref="K30:K33" si="5">XLOOKUP(J30,$A$8:$A$20,$B$8:$B$20)</f>
        <v>Dan</v>
      </c>
      <c r="L30" s="162" t="s">
        <v>147</v>
      </c>
      <c r="M30" s="120" t="s">
        <v>171</v>
      </c>
      <c r="N30" s="156"/>
    </row>
    <row r="31">
      <c r="A31" s="120">
        <v>5.0</v>
      </c>
      <c r="B31" s="120" t="s">
        <v>170</v>
      </c>
      <c r="C31" s="120">
        <v>10.0</v>
      </c>
      <c r="G31" s="161">
        <v>3.0</v>
      </c>
      <c r="H31" s="104" t="str">
        <f t="shared" si="4"/>
        <v>Brian</v>
      </c>
      <c r="I31" s="144">
        <v>46023.0</v>
      </c>
      <c r="J31" s="161">
        <v>6.0</v>
      </c>
      <c r="K31" s="104" t="str">
        <f t="shared" si="5"/>
        <v>Eric</v>
      </c>
      <c r="L31" s="144">
        <v>46023.0</v>
      </c>
      <c r="M31" s="120" t="s">
        <v>172</v>
      </c>
      <c r="N31" s="156"/>
    </row>
    <row r="32">
      <c r="A32" s="120">
        <v>5.0</v>
      </c>
      <c r="B32" s="120" t="s">
        <v>170</v>
      </c>
      <c r="C32" s="120">
        <v>10.0</v>
      </c>
      <c r="G32" s="161">
        <v>8.0</v>
      </c>
      <c r="H32" s="104" t="str">
        <f t="shared" si="4"/>
        <v>Kevin</v>
      </c>
      <c r="I32" s="144">
        <v>46023.0</v>
      </c>
      <c r="J32" s="161">
        <v>7.0</v>
      </c>
      <c r="K32" s="104" t="str">
        <f t="shared" si="5"/>
        <v>Fred</v>
      </c>
      <c r="L32" s="144">
        <v>46023.0</v>
      </c>
      <c r="N32" s="156"/>
    </row>
    <row r="33">
      <c r="A33" s="120">
        <v>9.0</v>
      </c>
      <c r="B33" s="120" t="s">
        <v>173</v>
      </c>
      <c r="C33" s="120">
        <v>5.0</v>
      </c>
      <c r="G33" s="161">
        <v>11.0</v>
      </c>
      <c r="H33" s="104" t="str">
        <f t="shared" si="4"/>
        <v>Steve</v>
      </c>
      <c r="I33" s="162" t="s">
        <v>150</v>
      </c>
      <c r="J33" s="161">
        <v>9.0</v>
      </c>
      <c r="K33" s="104" t="str">
        <f t="shared" si="5"/>
        <v>Michael</v>
      </c>
      <c r="L33" s="162" t="s">
        <v>150</v>
      </c>
      <c r="N33" s="156"/>
    </row>
    <row r="34">
      <c r="A34" s="120">
        <v>9.0</v>
      </c>
      <c r="B34" s="120" t="s">
        <v>173</v>
      </c>
      <c r="C34" s="120">
        <v>5.0</v>
      </c>
      <c r="G34" s="155"/>
      <c r="N34" s="156"/>
    </row>
    <row r="35">
      <c r="A35" s="120">
        <v>11.0</v>
      </c>
      <c r="B35" s="163" t="s">
        <v>174</v>
      </c>
      <c r="C35" s="120">
        <v>3.0</v>
      </c>
      <c r="G35" s="155"/>
      <c r="H35" s="103" t="s">
        <v>175</v>
      </c>
      <c r="I35" s="104"/>
      <c r="N35" s="156"/>
    </row>
    <row r="36">
      <c r="A36" s="120">
        <v>11.0</v>
      </c>
      <c r="B36" s="163" t="s">
        <v>174</v>
      </c>
      <c r="C36" s="120">
        <v>3.0</v>
      </c>
      <c r="G36" s="155"/>
      <c r="H36" s="146" t="s">
        <v>176</v>
      </c>
      <c r="I36" s="135" t="s">
        <v>177</v>
      </c>
      <c r="N36" s="156"/>
    </row>
    <row r="37">
      <c r="A37" s="120">
        <v>13.0</v>
      </c>
      <c r="B37" s="163" t="s">
        <v>178</v>
      </c>
      <c r="C37" s="120">
        <v>1.0</v>
      </c>
      <c r="D37" s="120" t="s">
        <v>179</v>
      </c>
      <c r="G37" s="155"/>
      <c r="H37" s="147"/>
      <c r="I37" s="147"/>
      <c r="N37" s="156"/>
    </row>
    <row r="38">
      <c r="C38" s="121">
        <f>SUM(C25:C37)</f>
        <v>131</v>
      </c>
      <c r="G38" s="155"/>
      <c r="H38" s="135" t="s">
        <v>180</v>
      </c>
      <c r="I38" s="146" t="s">
        <v>181</v>
      </c>
      <c r="N38" s="156"/>
    </row>
    <row r="39">
      <c r="G39" s="155"/>
      <c r="H39" s="104"/>
      <c r="I39" s="104"/>
      <c r="N39" s="156"/>
    </row>
    <row r="40">
      <c r="G40" s="164"/>
      <c r="H40" s="151" t="s">
        <v>182</v>
      </c>
      <c r="I40" s="150"/>
      <c r="J40" s="126"/>
      <c r="K40" s="126"/>
      <c r="L40" s="126"/>
      <c r="M40" s="126"/>
      <c r="N40" s="165"/>
    </row>
    <row r="43">
      <c r="G43" s="154" t="s">
        <v>183</v>
      </c>
      <c r="H43" s="132"/>
      <c r="I43" s="132"/>
      <c r="J43" s="132"/>
      <c r="K43" s="132"/>
      <c r="L43" s="132"/>
      <c r="M43" s="132"/>
      <c r="N43" s="133"/>
    </row>
    <row r="44">
      <c r="G44" s="155"/>
      <c r="H44" s="120" t="s">
        <v>184</v>
      </c>
      <c r="N44" s="156"/>
    </row>
    <row r="45">
      <c r="G45" s="155"/>
      <c r="N45" s="156"/>
    </row>
    <row r="46">
      <c r="G46" s="155"/>
      <c r="H46" s="84"/>
      <c r="I46" s="158" t="s">
        <v>185</v>
      </c>
      <c r="K46" s="138"/>
      <c r="N46" s="156"/>
    </row>
    <row r="47">
      <c r="G47" s="155"/>
      <c r="I47" s="159" t="s">
        <v>144</v>
      </c>
      <c r="J47" s="129" t="s">
        <v>145</v>
      </c>
      <c r="K47" s="160" t="s">
        <v>146</v>
      </c>
      <c r="N47" s="156"/>
    </row>
    <row r="48">
      <c r="G48" s="155"/>
      <c r="I48" s="161">
        <v>1.0</v>
      </c>
      <c r="J48" s="104" t="str">
        <f t="array" ref="J48">XLOOKUP(I48,$A$7:$A$20,$B$7:$B$20)</f>
        <v>Adam</v>
      </c>
      <c r="K48" s="144">
        <v>46023.0</v>
      </c>
      <c r="N48" s="156"/>
    </row>
    <row r="49">
      <c r="G49" s="155"/>
      <c r="I49" s="161">
        <v>2.0</v>
      </c>
      <c r="J49" s="104" t="str">
        <f t="shared" ref="J49:J51" si="6">XLOOKUP(I49,$A$8:$A$20,$B$8:$B$20)</f>
        <v>Andrew</v>
      </c>
      <c r="K49" s="162" t="s">
        <v>147</v>
      </c>
      <c r="N49" s="156"/>
    </row>
    <row r="50">
      <c r="G50" s="155"/>
      <c r="H50" s="84"/>
      <c r="I50" s="161">
        <v>5.0</v>
      </c>
      <c r="J50" s="104" t="str">
        <f t="shared" si="6"/>
        <v>Emanuel</v>
      </c>
      <c r="K50" s="162" t="s">
        <v>150</v>
      </c>
      <c r="N50" s="156"/>
    </row>
    <row r="51">
      <c r="G51" s="155"/>
      <c r="H51" s="84"/>
      <c r="I51" s="161">
        <v>4.0</v>
      </c>
      <c r="J51" s="104" t="str">
        <f t="shared" si="6"/>
        <v>Dan</v>
      </c>
      <c r="K51" s="144">
        <v>46023.0</v>
      </c>
      <c r="N51" s="156"/>
    </row>
    <row r="52">
      <c r="G52" s="155"/>
      <c r="N52" s="156"/>
    </row>
    <row r="53">
      <c r="G53" s="155"/>
      <c r="N53" s="156"/>
    </row>
    <row r="54">
      <c r="G54" s="155"/>
      <c r="I54" s="103" t="s">
        <v>186</v>
      </c>
      <c r="J54" s="104"/>
      <c r="N54" s="156"/>
    </row>
    <row r="55">
      <c r="G55" s="155"/>
      <c r="I55" s="146" t="s">
        <v>187</v>
      </c>
      <c r="J55" s="135" t="s">
        <v>188</v>
      </c>
      <c r="N55" s="156"/>
    </row>
    <row r="56">
      <c r="G56" s="155"/>
      <c r="I56" s="147"/>
      <c r="J56" s="147"/>
      <c r="N56" s="156"/>
    </row>
    <row r="57">
      <c r="G57" s="155"/>
      <c r="I57" s="135" t="s">
        <v>189</v>
      </c>
      <c r="J57" s="146" t="s">
        <v>190</v>
      </c>
      <c r="N57" s="156"/>
    </row>
    <row r="58">
      <c r="G58" s="155"/>
      <c r="I58" s="104"/>
      <c r="J58" s="104"/>
      <c r="N58" s="156"/>
    </row>
    <row r="59">
      <c r="G59" s="164"/>
      <c r="H59" s="126"/>
      <c r="I59" s="151" t="s">
        <v>191</v>
      </c>
      <c r="J59" s="150"/>
      <c r="K59" s="126"/>
      <c r="L59" s="126"/>
      <c r="M59" s="126"/>
      <c r="N59" s="165"/>
    </row>
  </sheetData>
  <mergeCells count="11">
    <mergeCell ref="G28:I28"/>
    <mergeCell ref="J28:L28"/>
    <mergeCell ref="G43:N43"/>
    <mergeCell ref="I46:K46"/>
    <mergeCell ref="G1:N1"/>
    <mergeCell ref="I4:K4"/>
    <mergeCell ref="C7:C8"/>
    <mergeCell ref="C9:C15"/>
    <mergeCell ref="C17:C20"/>
    <mergeCell ref="G19:N19"/>
    <mergeCell ref="A23:C2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4" width="5.5"/>
    <col customWidth="1" min="5" max="5" width="8.13"/>
    <col customWidth="1" min="6" max="6" width="8.0"/>
    <col customWidth="1" min="7" max="7" width="10.5"/>
    <col customWidth="1" min="8" max="8" width="13.75"/>
    <col customWidth="1" hidden="1" min="9" max="9" width="8.0"/>
    <col customWidth="1" min="12" max="13" width="5.5"/>
    <col customWidth="1" min="14" max="14" width="14.13"/>
    <col customWidth="1" min="15" max="15" width="12.38"/>
    <col customWidth="1" min="16" max="16" width="8.13"/>
    <col customWidth="1" min="17" max="17" width="11.0"/>
    <col customWidth="1" min="18" max="18" width="14.88"/>
    <col customWidth="1" hidden="1" min="19" max="19" width="8.0"/>
    <col customWidth="1" min="21" max="21" width="14.25"/>
    <col customWidth="1" min="22" max="22" width="14.63"/>
    <col customWidth="1" min="23" max="23" width="14.88"/>
    <col customWidth="1" min="24" max="24" width="14.63"/>
    <col customWidth="1" min="25" max="25" width="14.25"/>
    <col customWidth="1" min="27" max="27" width="12.88"/>
  </cols>
  <sheetData>
    <row r="3">
      <c r="H3" s="120" t="s">
        <v>192</v>
      </c>
      <c r="K3" s="121">
        <f>IFERROR(__xludf.DUMMYFUNCTION("COUNTUNIQUE(K4:K53)"),13.0)</f>
        <v>13</v>
      </c>
      <c r="N3" s="91"/>
      <c r="P3" s="120" t="s">
        <v>193</v>
      </c>
    </row>
    <row r="4">
      <c r="J4" s="166" t="s">
        <v>194</v>
      </c>
      <c r="K4" s="167" t="str">
        <f>IFERROR(__xludf.DUMMYFUNCTION("FILTER($X$8:$X$20, NOT(ISNUMBER(SEARCH($X$8:$X$20, TEXTJOIN("", "", TRUE, N5:O7)))))"),"sean")</f>
        <v>sean</v>
      </c>
      <c r="L4" s="168" t="s">
        <v>195</v>
      </c>
      <c r="P4" s="167">
        <f>IFERROR(__xludf.DUMMYFUNCTION("SUMPRODUCT(1/COUNTIF(TRANSPOSE(SPLIT(TEXTJOIN("" "",TRUE,N5:O7),"" "")),TRANSPOSE(SPLIT(TEXTJOIN("" "",TRUE,N5:O7),"" ""))))"),12.0)</f>
        <v>12</v>
      </c>
    </row>
    <row r="5">
      <c r="J5" s="167"/>
      <c r="K5" s="167"/>
      <c r="L5" s="166" t="s">
        <v>196</v>
      </c>
      <c r="M5" s="167"/>
      <c r="N5" s="168" t="s">
        <v>197</v>
      </c>
      <c r="O5" s="166" t="s">
        <v>198</v>
      </c>
      <c r="P5" s="167"/>
    </row>
    <row r="6">
      <c r="J6" s="167"/>
      <c r="K6" s="167"/>
      <c r="L6" s="166" t="s">
        <v>199</v>
      </c>
      <c r="M6" s="167"/>
      <c r="N6" s="166" t="s">
        <v>200</v>
      </c>
      <c r="O6" s="166" t="s">
        <v>201</v>
      </c>
      <c r="P6" s="167"/>
    </row>
    <row r="7">
      <c r="J7" s="167"/>
      <c r="K7" s="167"/>
      <c r="L7" s="166" t="s">
        <v>202</v>
      </c>
      <c r="M7" s="167"/>
      <c r="N7" s="166" t="s">
        <v>203</v>
      </c>
      <c r="O7" s="166" t="s">
        <v>204</v>
      </c>
      <c r="P7" s="167"/>
      <c r="X7" s="84" t="s">
        <v>205</v>
      </c>
      <c r="Y7" s="84" t="s">
        <v>206</v>
      </c>
      <c r="Z7" s="84" t="s">
        <v>207</v>
      </c>
      <c r="AA7" s="84" t="s">
        <v>208</v>
      </c>
      <c r="AB7" s="84" t="s">
        <v>209</v>
      </c>
      <c r="AC7" s="84" t="s">
        <v>210</v>
      </c>
      <c r="AD7" s="84" t="s">
        <v>124</v>
      </c>
      <c r="AE7" s="84" t="s">
        <v>127</v>
      </c>
      <c r="AF7" s="84" t="s">
        <v>211</v>
      </c>
      <c r="AG7" s="84" t="s">
        <v>126</v>
      </c>
      <c r="AH7" s="84" t="s">
        <v>212</v>
      </c>
      <c r="AI7" s="84" t="s">
        <v>125</v>
      </c>
      <c r="AJ7" s="84" t="s">
        <v>213</v>
      </c>
      <c r="AK7" s="84" t="s">
        <v>214</v>
      </c>
      <c r="AL7" s="84" t="s">
        <v>215</v>
      </c>
    </row>
    <row r="8">
      <c r="J8" s="166" t="s">
        <v>194</v>
      </c>
      <c r="K8" s="167" t="str">
        <f>IFERROR(__xludf.DUMMYFUNCTION("FILTER($X$8:$X$20, NOT(ISNUMBER(SEARCH($X$8:$X$20, TEXTJOIN("", "", TRUE, N9:O11)))))"),"kevin")</f>
        <v>kevin</v>
      </c>
      <c r="L8" s="168" t="s">
        <v>216</v>
      </c>
      <c r="P8" s="167">
        <f>IFERROR(__xludf.DUMMYFUNCTION("SUMPRODUCT(1/COUNTIF(TRANSPOSE(SPLIT(TEXTJOIN("" "",TRUE,N9:O11),"" "")),TRANSPOSE(SPLIT(TEXTJOIN("" "",TRUE,N9:O11),"" ""))))"),12.0)</f>
        <v>12</v>
      </c>
      <c r="X8" s="169" t="s">
        <v>206</v>
      </c>
      <c r="Y8" s="170">
        <f t="shared" ref="Y8:AK8" si="1">COUNTIFS($N$5:$O$55,"*"&amp;$X8&amp;"*",$N$5:$O$55,"*"&amp;Y$7&amp;"*")</f>
        <v>12</v>
      </c>
      <c r="Z8" s="171">
        <f t="shared" si="1"/>
        <v>1</v>
      </c>
      <c r="AA8" s="171">
        <f t="shared" si="1"/>
        <v>1</v>
      </c>
      <c r="AB8" s="171">
        <f t="shared" si="1"/>
        <v>1</v>
      </c>
      <c r="AC8" s="171">
        <f t="shared" si="1"/>
        <v>1</v>
      </c>
      <c r="AD8" s="171">
        <f t="shared" si="1"/>
        <v>1</v>
      </c>
      <c r="AE8" s="171">
        <f t="shared" si="1"/>
        <v>1</v>
      </c>
      <c r="AF8" s="171">
        <f t="shared" si="1"/>
        <v>1</v>
      </c>
      <c r="AG8" s="171">
        <f t="shared" si="1"/>
        <v>1</v>
      </c>
      <c r="AH8" s="171">
        <f t="shared" si="1"/>
        <v>1</v>
      </c>
      <c r="AI8" s="171">
        <f t="shared" si="1"/>
        <v>1</v>
      </c>
      <c r="AJ8" s="171">
        <f t="shared" si="1"/>
        <v>1</v>
      </c>
      <c r="AK8" s="171">
        <f t="shared" si="1"/>
        <v>1</v>
      </c>
      <c r="AL8" s="172">
        <f t="shared" ref="AL8:AL20" si="3">SUM(Y8:AK8)-12</f>
        <v>12</v>
      </c>
    </row>
    <row r="9">
      <c r="J9" s="167"/>
      <c r="K9" s="167"/>
      <c r="L9" s="166" t="s">
        <v>217</v>
      </c>
      <c r="M9" s="167"/>
      <c r="N9" s="166" t="s">
        <v>218</v>
      </c>
      <c r="O9" s="166" t="s">
        <v>219</v>
      </c>
      <c r="P9" s="167"/>
      <c r="X9" s="169" t="s">
        <v>207</v>
      </c>
      <c r="Y9" s="171">
        <f t="shared" ref="Y9:AK9" si="2">COUNTIFS($N$5:$O$55,"*"&amp;$X9&amp;"*",$N$5:$O$55,"*"&amp;Y$7&amp;"*")</f>
        <v>1</v>
      </c>
      <c r="Z9" s="170">
        <f t="shared" si="2"/>
        <v>12</v>
      </c>
      <c r="AA9" s="171">
        <f t="shared" si="2"/>
        <v>1</v>
      </c>
      <c r="AB9" s="171">
        <f t="shared" si="2"/>
        <v>1</v>
      </c>
      <c r="AC9" s="171">
        <f t="shared" si="2"/>
        <v>1</v>
      </c>
      <c r="AD9" s="171">
        <f t="shared" si="2"/>
        <v>1</v>
      </c>
      <c r="AE9" s="171">
        <f t="shared" si="2"/>
        <v>1</v>
      </c>
      <c r="AF9" s="171">
        <f t="shared" si="2"/>
        <v>1</v>
      </c>
      <c r="AG9" s="171">
        <f t="shared" si="2"/>
        <v>1</v>
      </c>
      <c r="AH9" s="171">
        <f t="shared" si="2"/>
        <v>1</v>
      </c>
      <c r="AI9" s="171">
        <f t="shared" si="2"/>
        <v>1</v>
      </c>
      <c r="AJ9" s="171">
        <f t="shared" si="2"/>
        <v>1</v>
      </c>
      <c r="AK9" s="171">
        <f t="shared" si="2"/>
        <v>1</v>
      </c>
      <c r="AL9" s="172">
        <f t="shared" si="3"/>
        <v>12</v>
      </c>
    </row>
    <row r="10">
      <c r="J10" s="167"/>
      <c r="K10" s="167"/>
      <c r="L10" s="166" t="s">
        <v>220</v>
      </c>
      <c r="M10" s="167"/>
      <c r="N10" s="166" t="s">
        <v>221</v>
      </c>
      <c r="O10" s="166" t="s">
        <v>222</v>
      </c>
      <c r="P10" s="167"/>
      <c r="X10" s="169" t="s">
        <v>208</v>
      </c>
      <c r="Y10" s="171">
        <f t="shared" ref="Y10:AK10" si="4">COUNTIFS($N$5:$O$55,"*"&amp;$X10&amp;"*",$N$5:$O$55,"*"&amp;Y$7&amp;"*")</f>
        <v>1</v>
      </c>
      <c r="Z10" s="171">
        <f t="shared" si="4"/>
        <v>1</v>
      </c>
      <c r="AA10" s="170">
        <f t="shared" si="4"/>
        <v>12</v>
      </c>
      <c r="AB10" s="171">
        <f t="shared" si="4"/>
        <v>1</v>
      </c>
      <c r="AC10" s="171">
        <f t="shared" si="4"/>
        <v>1</v>
      </c>
      <c r="AD10" s="171">
        <f t="shared" si="4"/>
        <v>1</v>
      </c>
      <c r="AE10" s="171">
        <f t="shared" si="4"/>
        <v>1</v>
      </c>
      <c r="AF10" s="171">
        <f t="shared" si="4"/>
        <v>1</v>
      </c>
      <c r="AG10" s="171">
        <f t="shared" si="4"/>
        <v>1</v>
      </c>
      <c r="AH10" s="171">
        <f t="shared" si="4"/>
        <v>1</v>
      </c>
      <c r="AI10" s="171">
        <f t="shared" si="4"/>
        <v>1</v>
      </c>
      <c r="AJ10" s="171">
        <f t="shared" si="4"/>
        <v>1</v>
      </c>
      <c r="AK10" s="171">
        <f t="shared" si="4"/>
        <v>1</v>
      </c>
      <c r="AL10" s="172">
        <f t="shared" si="3"/>
        <v>12</v>
      </c>
    </row>
    <row r="11">
      <c r="J11" s="167"/>
      <c r="K11" s="167"/>
      <c r="L11" s="166" t="s">
        <v>223</v>
      </c>
      <c r="M11" s="167"/>
      <c r="N11" s="166" t="s">
        <v>224</v>
      </c>
      <c r="O11" s="166" t="s">
        <v>225</v>
      </c>
      <c r="P11" s="167"/>
      <c r="X11" s="169" t="s">
        <v>209</v>
      </c>
      <c r="Y11" s="171">
        <f t="shared" ref="Y11:AK11" si="5">COUNTIFS($N$5:$O$55,"*"&amp;$X11&amp;"*",$N$5:$O$55,"*"&amp;Y$7&amp;"*")</f>
        <v>1</v>
      </c>
      <c r="Z11" s="171">
        <f t="shared" si="5"/>
        <v>1</v>
      </c>
      <c r="AA11" s="171">
        <f t="shared" si="5"/>
        <v>1</v>
      </c>
      <c r="AB11" s="170">
        <f t="shared" si="5"/>
        <v>12</v>
      </c>
      <c r="AC11" s="171">
        <f t="shared" si="5"/>
        <v>1</v>
      </c>
      <c r="AD11" s="171">
        <f t="shared" si="5"/>
        <v>1</v>
      </c>
      <c r="AE11" s="171">
        <f t="shared" si="5"/>
        <v>1</v>
      </c>
      <c r="AF11" s="171">
        <f t="shared" si="5"/>
        <v>1</v>
      </c>
      <c r="AG11" s="171">
        <f t="shared" si="5"/>
        <v>1</v>
      </c>
      <c r="AH11" s="171">
        <f t="shared" si="5"/>
        <v>1</v>
      </c>
      <c r="AI11" s="171">
        <f t="shared" si="5"/>
        <v>1</v>
      </c>
      <c r="AJ11" s="171">
        <f t="shared" si="5"/>
        <v>1</v>
      </c>
      <c r="AK11" s="171">
        <f t="shared" si="5"/>
        <v>1</v>
      </c>
      <c r="AL11" s="172">
        <f t="shared" si="3"/>
        <v>12</v>
      </c>
    </row>
    <row r="12">
      <c r="J12" s="166" t="s">
        <v>194</v>
      </c>
      <c r="K12" s="167" t="str">
        <f>IFERROR(__xludf.DUMMYFUNCTION("FILTER($X$8:$X$20, NOT(ISNUMBER(SEARCH($X$8:$X$20, TEXTJOIN("", "", TRUE, N13:O15)))))"),"eric")</f>
        <v>eric</v>
      </c>
      <c r="L12" s="168" t="s">
        <v>226</v>
      </c>
      <c r="P12" s="167">
        <f>IFERROR(__xludf.DUMMYFUNCTION("SUMPRODUCT(1/COUNTIF(TRANSPOSE(SPLIT(TEXTJOIN("" "",TRUE,N13:O15),"" "")),TRANSPOSE(SPLIT(TEXTJOIN("" "",TRUE,N13:O15),"" ""))))"),12.0)</f>
        <v>12</v>
      </c>
      <c r="X12" s="169" t="s">
        <v>210</v>
      </c>
      <c r="Y12" s="171">
        <f t="shared" ref="Y12:AK12" si="6">COUNTIFS($N$5:$O$55,"*"&amp;$X12&amp;"*",$N$5:$O$55,"*"&amp;Y$7&amp;"*")</f>
        <v>1</v>
      </c>
      <c r="Z12" s="171">
        <f t="shared" si="6"/>
        <v>1</v>
      </c>
      <c r="AA12" s="171">
        <f t="shared" si="6"/>
        <v>1</v>
      </c>
      <c r="AB12" s="171">
        <f t="shared" si="6"/>
        <v>1</v>
      </c>
      <c r="AC12" s="170">
        <f t="shared" si="6"/>
        <v>12</v>
      </c>
      <c r="AD12" s="171">
        <f t="shared" si="6"/>
        <v>1</v>
      </c>
      <c r="AE12" s="171">
        <f t="shared" si="6"/>
        <v>1</v>
      </c>
      <c r="AF12" s="171">
        <f t="shared" si="6"/>
        <v>1</v>
      </c>
      <c r="AG12" s="171">
        <f t="shared" si="6"/>
        <v>1</v>
      </c>
      <c r="AH12" s="171">
        <f t="shared" si="6"/>
        <v>1</v>
      </c>
      <c r="AI12" s="171">
        <f t="shared" si="6"/>
        <v>1</v>
      </c>
      <c r="AJ12" s="171">
        <f t="shared" si="6"/>
        <v>1</v>
      </c>
      <c r="AK12" s="171">
        <f t="shared" si="6"/>
        <v>1</v>
      </c>
      <c r="AL12" s="172">
        <f t="shared" si="3"/>
        <v>12</v>
      </c>
    </row>
    <row r="13">
      <c r="J13" s="167"/>
      <c r="K13" s="167"/>
      <c r="L13" s="166" t="s">
        <v>227</v>
      </c>
      <c r="M13" s="167"/>
      <c r="N13" s="166" t="s">
        <v>228</v>
      </c>
      <c r="O13" s="166" t="s">
        <v>229</v>
      </c>
      <c r="P13" s="167"/>
      <c r="X13" s="169" t="s">
        <v>124</v>
      </c>
      <c r="Y13" s="171">
        <f t="shared" ref="Y13:AK13" si="7">COUNTIFS($N$5:$O$55,"*"&amp;$X13&amp;"*",$N$5:$O$55,"*"&amp;Y$7&amp;"*")</f>
        <v>1</v>
      </c>
      <c r="Z13" s="171">
        <f t="shared" si="7"/>
        <v>1</v>
      </c>
      <c r="AA13" s="171">
        <f t="shared" si="7"/>
        <v>1</v>
      </c>
      <c r="AB13" s="171">
        <f t="shared" si="7"/>
        <v>1</v>
      </c>
      <c r="AC13" s="171">
        <f t="shared" si="7"/>
        <v>1</v>
      </c>
      <c r="AD13" s="170">
        <f t="shared" si="7"/>
        <v>12</v>
      </c>
      <c r="AE13" s="171">
        <f t="shared" si="7"/>
        <v>1</v>
      </c>
      <c r="AF13" s="171">
        <f t="shared" si="7"/>
        <v>1</v>
      </c>
      <c r="AG13" s="171">
        <f t="shared" si="7"/>
        <v>1</v>
      </c>
      <c r="AH13" s="171">
        <f t="shared" si="7"/>
        <v>1</v>
      </c>
      <c r="AI13" s="171">
        <f t="shared" si="7"/>
        <v>1</v>
      </c>
      <c r="AJ13" s="171">
        <f t="shared" si="7"/>
        <v>1</v>
      </c>
      <c r="AK13" s="171">
        <f t="shared" si="7"/>
        <v>1</v>
      </c>
      <c r="AL13" s="172">
        <f t="shared" si="3"/>
        <v>12</v>
      </c>
    </row>
    <row r="14">
      <c r="J14" s="167"/>
      <c r="K14" s="167"/>
      <c r="L14" s="166" t="s">
        <v>230</v>
      </c>
      <c r="M14" s="167"/>
      <c r="N14" s="166" t="s">
        <v>231</v>
      </c>
      <c r="O14" s="166" t="s">
        <v>232</v>
      </c>
      <c r="P14" s="167"/>
      <c r="X14" s="169" t="s">
        <v>127</v>
      </c>
      <c r="Y14" s="171">
        <f t="shared" ref="Y14:AK14" si="8">COUNTIFS($N$5:$O$55,"*"&amp;$X14&amp;"*",$N$5:$O$55,"*"&amp;Y$7&amp;"*")</f>
        <v>1</v>
      </c>
      <c r="Z14" s="171">
        <f t="shared" si="8"/>
        <v>1</v>
      </c>
      <c r="AA14" s="171">
        <f t="shared" si="8"/>
        <v>1</v>
      </c>
      <c r="AB14" s="171">
        <f t="shared" si="8"/>
        <v>1</v>
      </c>
      <c r="AC14" s="171">
        <f t="shared" si="8"/>
        <v>1</v>
      </c>
      <c r="AD14" s="171">
        <f t="shared" si="8"/>
        <v>1</v>
      </c>
      <c r="AE14" s="170">
        <f t="shared" si="8"/>
        <v>12</v>
      </c>
      <c r="AF14" s="171">
        <f t="shared" si="8"/>
        <v>1</v>
      </c>
      <c r="AG14" s="171">
        <f t="shared" si="8"/>
        <v>1</v>
      </c>
      <c r="AH14" s="171">
        <f t="shared" si="8"/>
        <v>1</v>
      </c>
      <c r="AI14" s="171">
        <f t="shared" si="8"/>
        <v>1</v>
      </c>
      <c r="AJ14" s="171">
        <f t="shared" si="8"/>
        <v>1</v>
      </c>
      <c r="AK14" s="171">
        <f t="shared" si="8"/>
        <v>1</v>
      </c>
      <c r="AL14" s="172">
        <f t="shared" si="3"/>
        <v>12</v>
      </c>
    </row>
    <row r="15">
      <c r="J15" s="167"/>
      <c r="K15" s="167"/>
      <c r="L15" s="166" t="s">
        <v>233</v>
      </c>
      <c r="M15" s="167"/>
      <c r="N15" s="166" t="s">
        <v>234</v>
      </c>
      <c r="O15" s="166" t="s">
        <v>235</v>
      </c>
      <c r="P15" s="167"/>
      <c r="X15" s="169" t="s">
        <v>211</v>
      </c>
      <c r="Y15" s="171">
        <f t="shared" ref="Y15:AK15" si="9">COUNTIFS($N$5:$O$55,"*"&amp;$X15&amp;"*",$N$5:$O$55,"*"&amp;Y$7&amp;"*")</f>
        <v>1</v>
      </c>
      <c r="Z15" s="171">
        <f t="shared" si="9"/>
        <v>1</v>
      </c>
      <c r="AA15" s="171">
        <f t="shared" si="9"/>
        <v>1</v>
      </c>
      <c r="AB15" s="171">
        <f t="shared" si="9"/>
        <v>1</v>
      </c>
      <c r="AC15" s="171">
        <f t="shared" si="9"/>
        <v>1</v>
      </c>
      <c r="AD15" s="171">
        <f t="shared" si="9"/>
        <v>1</v>
      </c>
      <c r="AE15" s="171">
        <f t="shared" si="9"/>
        <v>1</v>
      </c>
      <c r="AF15" s="170">
        <f t="shared" si="9"/>
        <v>12</v>
      </c>
      <c r="AG15" s="171">
        <f t="shared" si="9"/>
        <v>1</v>
      </c>
      <c r="AH15" s="171">
        <f t="shared" si="9"/>
        <v>1</v>
      </c>
      <c r="AI15" s="171">
        <f t="shared" si="9"/>
        <v>1</v>
      </c>
      <c r="AJ15" s="171">
        <f t="shared" si="9"/>
        <v>1</v>
      </c>
      <c r="AK15" s="171">
        <f t="shared" si="9"/>
        <v>1</v>
      </c>
      <c r="AL15" s="172">
        <f t="shared" si="3"/>
        <v>12</v>
      </c>
    </row>
    <row r="16">
      <c r="J16" s="166" t="s">
        <v>194</v>
      </c>
      <c r="K16" s="167" t="str">
        <f>IFERROR(__xludf.DUMMYFUNCTION("FILTER($X$8:$X$20, NOT(ISNUMBER(SEARCH($X$8:$X$20, TEXTJOIN("", "", TRUE, N17:O19)))))"),"adam")</f>
        <v>adam</v>
      </c>
      <c r="L16" s="168" t="s">
        <v>236</v>
      </c>
      <c r="P16" s="167">
        <f>IFERROR(__xludf.DUMMYFUNCTION("SUMPRODUCT(1/COUNTIF(TRANSPOSE(SPLIT(TEXTJOIN("" "",TRUE,N17:O19),"" "")),TRANSPOSE(SPLIT(TEXTJOIN("" "",TRUE,N17:O19),"" ""))))"),12.0)</f>
        <v>12</v>
      </c>
      <c r="X16" s="169" t="s">
        <v>126</v>
      </c>
      <c r="Y16" s="171">
        <f t="shared" ref="Y16:AK16" si="10">COUNTIFS($N$5:$O$55,"*"&amp;$X16&amp;"*",$N$5:$O$55,"*"&amp;Y$7&amp;"*")</f>
        <v>1</v>
      </c>
      <c r="Z16" s="171">
        <f t="shared" si="10"/>
        <v>1</v>
      </c>
      <c r="AA16" s="171">
        <f t="shared" si="10"/>
        <v>1</v>
      </c>
      <c r="AB16" s="171">
        <f t="shared" si="10"/>
        <v>1</v>
      </c>
      <c r="AC16" s="171">
        <f t="shared" si="10"/>
        <v>1</v>
      </c>
      <c r="AD16" s="171">
        <f t="shared" si="10"/>
        <v>1</v>
      </c>
      <c r="AE16" s="171">
        <f t="shared" si="10"/>
        <v>1</v>
      </c>
      <c r="AF16" s="171">
        <f t="shared" si="10"/>
        <v>1</v>
      </c>
      <c r="AG16" s="170">
        <f t="shared" si="10"/>
        <v>12</v>
      </c>
      <c r="AH16" s="171">
        <f t="shared" si="10"/>
        <v>1</v>
      </c>
      <c r="AI16" s="171">
        <f t="shared" si="10"/>
        <v>1</v>
      </c>
      <c r="AJ16" s="171">
        <f t="shared" si="10"/>
        <v>1</v>
      </c>
      <c r="AK16" s="171">
        <f t="shared" si="10"/>
        <v>1</v>
      </c>
      <c r="AL16" s="172">
        <f t="shared" si="3"/>
        <v>12</v>
      </c>
    </row>
    <row r="17">
      <c r="J17" s="167"/>
      <c r="K17" s="167"/>
      <c r="L17" s="166" t="s">
        <v>237</v>
      </c>
      <c r="M17" s="167"/>
      <c r="N17" s="166" t="s">
        <v>238</v>
      </c>
      <c r="O17" s="166" t="s">
        <v>239</v>
      </c>
      <c r="P17" s="167"/>
      <c r="X17" s="169" t="s">
        <v>212</v>
      </c>
      <c r="Y17" s="171">
        <f t="shared" ref="Y17:AK17" si="11">COUNTIFS($N$5:$O$55,"*"&amp;$X17&amp;"*",$N$5:$O$55,"*"&amp;Y$7&amp;"*")</f>
        <v>1</v>
      </c>
      <c r="Z17" s="171">
        <f t="shared" si="11"/>
        <v>1</v>
      </c>
      <c r="AA17" s="171">
        <f t="shared" si="11"/>
        <v>1</v>
      </c>
      <c r="AB17" s="171">
        <f t="shared" si="11"/>
        <v>1</v>
      </c>
      <c r="AC17" s="171">
        <f t="shared" si="11"/>
        <v>1</v>
      </c>
      <c r="AD17" s="171">
        <f t="shared" si="11"/>
        <v>1</v>
      </c>
      <c r="AE17" s="171">
        <f t="shared" si="11"/>
        <v>1</v>
      </c>
      <c r="AF17" s="171">
        <f t="shared" si="11"/>
        <v>1</v>
      </c>
      <c r="AG17" s="171">
        <f t="shared" si="11"/>
        <v>1</v>
      </c>
      <c r="AH17" s="170">
        <f t="shared" si="11"/>
        <v>12</v>
      </c>
      <c r="AI17" s="171">
        <f t="shared" si="11"/>
        <v>1</v>
      </c>
      <c r="AJ17" s="171">
        <f t="shared" si="11"/>
        <v>1</v>
      </c>
      <c r="AK17" s="171">
        <f t="shared" si="11"/>
        <v>1</v>
      </c>
      <c r="AL17" s="172">
        <f t="shared" si="3"/>
        <v>12</v>
      </c>
    </row>
    <row r="18">
      <c r="J18" s="167"/>
      <c r="K18" s="167"/>
      <c r="L18" s="166" t="s">
        <v>240</v>
      </c>
      <c r="M18" s="167"/>
      <c r="N18" s="166" t="s">
        <v>241</v>
      </c>
      <c r="O18" s="166" t="s">
        <v>242</v>
      </c>
      <c r="P18" s="167"/>
      <c r="X18" s="169" t="s">
        <v>125</v>
      </c>
      <c r="Y18" s="171">
        <f t="shared" ref="Y18:AK18" si="12">COUNTIFS($N$5:$O$55,"*"&amp;$X18&amp;"*",$N$5:$O$55,"*"&amp;Y$7&amp;"*")</f>
        <v>1</v>
      </c>
      <c r="Z18" s="171">
        <f t="shared" si="12"/>
        <v>1</v>
      </c>
      <c r="AA18" s="171">
        <f t="shared" si="12"/>
        <v>1</v>
      </c>
      <c r="AB18" s="171">
        <f t="shared" si="12"/>
        <v>1</v>
      </c>
      <c r="AC18" s="171">
        <f t="shared" si="12"/>
        <v>1</v>
      </c>
      <c r="AD18" s="171">
        <f t="shared" si="12"/>
        <v>1</v>
      </c>
      <c r="AE18" s="171">
        <f t="shared" si="12"/>
        <v>1</v>
      </c>
      <c r="AF18" s="171">
        <f t="shared" si="12"/>
        <v>1</v>
      </c>
      <c r="AG18" s="171">
        <f t="shared" si="12"/>
        <v>1</v>
      </c>
      <c r="AH18" s="171">
        <f t="shared" si="12"/>
        <v>1</v>
      </c>
      <c r="AI18" s="170">
        <f t="shared" si="12"/>
        <v>12</v>
      </c>
      <c r="AJ18" s="171">
        <f t="shared" si="12"/>
        <v>1</v>
      </c>
      <c r="AK18" s="171">
        <f t="shared" si="12"/>
        <v>1</v>
      </c>
      <c r="AL18" s="172">
        <f t="shared" si="3"/>
        <v>12</v>
      </c>
    </row>
    <row r="19">
      <c r="J19" s="167"/>
      <c r="K19" s="167"/>
      <c r="L19" s="166" t="s">
        <v>243</v>
      </c>
      <c r="M19" s="167"/>
      <c r="N19" s="166" t="s">
        <v>244</v>
      </c>
      <c r="O19" s="166" t="s">
        <v>245</v>
      </c>
      <c r="P19" s="167"/>
      <c r="X19" s="169" t="s">
        <v>213</v>
      </c>
      <c r="Y19" s="171">
        <f t="shared" ref="Y19:AK19" si="13">COUNTIFS($N$5:$O$55,"*"&amp;$X19&amp;"*",$N$5:$O$55,"*"&amp;Y$7&amp;"*")</f>
        <v>1</v>
      </c>
      <c r="Z19" s="171">
        <f t="shared" si="13"/>
        <v>1</v>
      </c>
      <c r="AA19" s="171">
        <f t="shared" si="13"/>
        <v>1</v>
      </c>
      <c r="AB19" s="171">
        <f t="shared" si="13"/>
        <v>1</v>
      </c>
      <c r="AC19" s="171">
        <f t="shared" si="13"/>
        <v>1</v>
      </c>
      <c r="AD19" s="171">
        <f t="shared" si="13"/>
        <v>1</v>
      </c>
      <c r="AE19" s="171">
        <f t="shared" si="13"/>
        <v>1</v>
      </c>
      <c r="AF19" s="171">
        <f t="shared" si="13"/>
        <v>1</v>
      </c>
      <c r="AG19" s="171">
        <f t="shared" si="13"/>
        <v>1</v>
      </c>
      <c r="AH19" s="171">
        <f t="shared" si="13"/>
        <v>1</v>
      </c>
      <c r="AI19" s="171">
        <f t="shared" si="13"/>
        <v>1</v>
      </c>
      <c r="AJ19" s="170">
        <f t="shared" si="13"/>
        <v>12</v>
      </c>
      <c r="AK19" s="171">
        <f t="shared" si="13"/>
        <v>1</v>
      </c>
      <c r="AL19" s="172">
        <f t="shared" si="3"/>
        <v>12</v>
      </c>
    </row>
    <row r="20">
      <c r="J20" s="166" t="s">
        <v>194</v>
      </c>
      <c r="K20" s="167" t="str">
        <f>IFERROR(__xludf.DUMMYFUNCTION("FILTER($X$8:$X$20, NOT(ISNUMBER(SEARCH($X$8:$X$20, TEXTJOIN("", "", TRUE, N21:O23)))))"),"andrew")</f>
        <v>andrew</v>
      </c>
      <c r="L20" s="168" t="s">
        <v>246</v>
      </c>
      <c r="P20" s="167">
        <f>IFERROR(__xludf.DUMMYFUNCTION("SUMPRODUCT(1/COUNTIF(TRANSPOSE(SPLIT(TEXTJOIN("" "",TRUE,N21:O23),"" "")),TRANSPOSE(SPLIT(TEXTJOIN("" "",TRUE,N21:O23),"" ""))))"),12.0)</f>
        <v>12</v>
      </c>
      <c r="X20" s="169" t="s">
        <v>214</v>
      </c>
      <c r="Y20" s="171">
        <f t="shared" ref="Y20:AK20" si="14">COUNTIFS($N$5:$O$55,"*"&amp;$X20&amp;"*",$N$5:$O$55,"*"&amp;Y$7&amp;"*")</f>
        <v>1</v>
      </c>
      <c r="Z20" s="171">
        <f t="shared" si="14"/>
        <v>1</v>
      </c>
      <c r="AA20" s="171">
        <f t="shared" si="14"/>
        <v>1</v>
      </c>
      <c r="AB20" s="171">
        <f t="shared" si="14"/>
        <v>1</v>
      </c>
      <c r="AC20" s="171">
        <f t="shared" si="14"/>
        <v>1</v>
      </c>
      <c r="AD20" s="171">
        <f t="shared" si="14"/>
        <v>1</v>
      </c>
      <c r="AE20" s="171">
        <f t="shared" si="14"/>
        <v>1</v>
      </c>
      <c r="AF20" s="171">
        <f t="shared" si="14"/>
        <v>1</v>
      </c>
      <c r="AG20" s="171">
        <f t="shared" si="14"/>
        <v>1</v>
      </c>
      <c r="AH20" s="171">
        <f t="shared" si="14"/>
        <v>1</v>
      </c>
      <c r="AI20" s="171">
        <f t="shared" si="14"/>
        <v>1</v>
      </c>
      <c r="AJ20" s="171">
        <f t="shared" si="14"/>
        <v>1</v>
      </c>
      <c r="AK20" s="170">
        <f t="shared" si="14"/>
        <v>12</v>
      </c>
      <c r="AL20" s="172">
        <f t="shared" si="3"/>
        <v>12</v>
      </c>
    </row>
    <row r="21">
      <c r="J21" s="167"/>
      <c r="K21" s="167"/>
      <c r="L21" s="166" t="s">
        <v>247</v>
      </c>
      <c r="M21" s="167"/>
      <c r="N21" s="166" t="s">
        <v>248</v>
      </c>
      <c r="O21" s="166" t="s">
        <v>249</v>
      </c>
      <c r="P21" s="167"/>
    </row>
    <row r="22">
      <c r="J22" s="167"/>
      <c r="K22" s="167"/>
      <c r="L22" s="166" t="s">
        <v>250</v>
      </c>
      <c r="M22" s="167"/>
      <c r="N22" s="166" t="s">
        <v>251</v>
      </c>
      <c r="O22" s="166" t="s">
        <v>252</v>
      </c>
      <c r="P22" s="167"/>
      <c r="V22" s="84" t="s">
        <v>253</v>
      </c>
      <c r="X22" s="84" t="s">
        <v>254</v>
      </c>
      <c r="Y22" s="84" t="s">
        <v>206</v>
      </c>
      <c r="Z22" s="84" t="s">
        <v>207</v>
      </c>
      <c r="AA22" s="84" t="s">
        <v>208</v>
      </c>
      <c r="AB22" s="84" t="s">
        <v>209</v>
      </c>
      <c r="AC22" s="84" t="s">
        <v>210</v>
      </c>
      <c r="AD22" s="84" t="s">
        <v>124</v>
      </c>
      <c r="AE22" s="84" t="s">
        <v>127</v>
      </c>
      <c r="AF22" s="84" t="s">
        <v>211</v>
      </c>
      <c r="AG22" s="84" t="s">
        <v>126</v>
      </c>
      <c r="AH22" s="84" t="s">
        <v>212</v>
      </c>
      <c r="AI22" s="84" t="s">
        <v>125</v>
      </c>
      <c r="AJ22" s="84" t="s">
        <v>213</v>
      </c>
      <c r="AK22" s="84" t="s">
        <v>214</v>
      </c>
    </row>
    <row r="23">
      <c r="J23" s="167"/>
      <c r="K23" s="167"/>
      <c r="L23" s="166" t="s">
        <v>255</v>
      </c>
      <c r="M23" s="167"/>
      <c r="N23" s="166" t="s">
        <v>256</v>
      </c>
      <c r="O23" s="166" t="s">
        <v>257</v>
      </c>
      <c r="P23" s="167"/>
      <c r="W23" s="173">
        <f t="shared" ref="W23:W35" si="16">SUMPRODUCT(Y23:AK23, TRANSPOSE($Y$41:$Y$53)) / (8 * SUM(Y23:AK23))</f>
        <v>0.4635416667</v>
      </c>
      <c r="X23" s="169" t="s">
        <v>206</v>
      </c>
      <c r="Y23" s="170">
        <f>COUNTIFS($N$4:$N$49, "*" &amp;$X23 &amp; "*", $O$4:$O$49, "*" &amp; Y$22 &amp; "*")+COUNTIFS($O$4:$O$49, "*" &amp; $X23 &amp; "*", $N$4:$N$49, "*" &amp; Y$22 &amp; "*")</f>
        <v>0</v>
      </c>
      <c r="Z23" s="171">
        <f t="shared" ref="Z23:AK23" si="15">COUNTIFS($N$4:$N$55, "*" &amp;$X23 &amp; "*", $O$4:$O$55, "*" &amp; Z$22 &amp; "*")+COUNTIFS($O$4:$O$55, "*" &amp; $X23 &amp; "*", $N$4:$N$55, "*" &amp; Z$22 &amp; "*")</f>
        <v>2</v>
      </c>
      <c r="AA23" s="171">
        <f t="shared" si="15"/>
        <v>1</v>
      </c>
      <c r="AB23" s="171">
        <f t="shared" si="15"/>
        <v>3</v>
      </c>
      <c r="AC23" s="171">
        <f t="shared" si="15"/>
        <v>1</v>
      </c>
      <c r="AD23" s="171">
        <f t="shared" si="15"/>
        <v>3</v>
      </c>
      <c r="AE23" s="171">
        <f t="shared" si="15"/>
        <v>2</v>
      </c>
      <c r="AF23" s="171">
        <f t="shared" si="15"/>
        <v>2</v>
      </c>
      <c r="AG23" s="171">
        <f t="shared" si="15"/>
        <v>2</v>
      </c>
      <c r="AH23" s="171">
        <f t="shared" si="15"/>
        <v>2</v>
      </c>
      <c r="AI23" s="171">
        <f t="shared" si="15"/>
        <v>3</v>
      </c>
      <c r="AJ23" s="171">
        <f t="shared" si="15"/>
        <v>1</v>
      </c>
      <c r="AK23" s="171">
        <f t="shared" si="15"/>
        <v>2</v>
      </c>
    </row>
    <row r="24">
      <c r="J24" s="166" t="s">
        <v>194</v>
      </c>
      <c r="K24" s="167" t="str">
        <f>IFERROR(__xludf.DUMMYFUNCTION("FILTER($X$8:$X$20, NOT(ISNUMBER(SEARCH($X$8:$X$20, TEXTJOIN("", "", TRUE, N25:O27)))))"),"dan")</f>
        <v>dan</v>
      </c>
      <c r="L24" s="168" t="s">
        <v>258</v>
      </c>
      <c r="P24" s="167">
        <f>IFERROR(__xludf.DUMMYFUNCTION("SUMPRODUCT(1/COUNTIF(TRANSPOSE(SPLIT(TEXTJOIN("" "",TRUE,N25:O27),"" "")),TRANSPOSE(SPLIT(TEXTJOIN("" "",TRUE,N25:O27),"" ""))))"),12.0)</f>
        <v>12</v>
      </c>
      <c r="W24" s="173">
        <f t="shared" si="16"/>
        <v>0.4739583333</v>
      </c>
      <c r="X24" s="169" t="s">
        <v>207</v>
      </c>
      <c r="Y24" s="171">
        <f t="shared" ref="Y24:AK24" si="17">COUNTIFS($N$4:$N$55, "*" &amp;$X24 &amp; "*", $O$4:$O$55, "*" &amp; Y$22 &amp; "*")+COUNTIFS($O$4:$O$55, "*" &amp; $X24 &amp; "*", $N$4:$N$55, "*" &amp; Y$22 &amp; "*")</f>
        <v>2</v>
      </c>
      <c r="Z24" s="170">
        <f t="shared" si="17"/>
        <v>0</v>
      </c>
      <c r="AA24" s="171">
        <f t="shared" si="17"/>
        <v>2</v>
      </c>
      <c r="AB24" s="171">
        <f t="shared" si="17"/>
        <v>1</v>
      </c>
      <c r="AC24" s="171">
        <f t="shared" si="17"/>
        <v>3</v>
      </c>
      <c r="AD24" s="171">
        <f t="shared" si="17"/>
        <v>2</v>
      </c>
      <c r="AE24" s="171">
        <f t="shared" si="17"/>
        <v>1</v>
      </c>
      <c r="AF24" s="171">
        <f t="shared" si="17"/>
        <v>1</v>
      </c>
      <c r="AG24" s="171">
        <f t="shared" si="17"/>
        <v>2</v>
      </c>
      <c r="AH24" s="171">
        <f t="shared" si="17"/>
        <v>1</v>
      </c>
      <c r="AI24" s="171">
        <f t="shared" si="17"/>
        <v>3</v>
      </c>
      <c r="AJ24" s="171">
        <f t="shared" si="17"/>
        <v>3</v>
      </c>
      <c r="AK24" s="171">
        <f t="shared" si="17"/>
        <v>3</v>
      </c>
    </row>
    <row r="25">
      <c r="J25" s="167"/>
      <c r="K25" s="167"/>
      <c r="L25" s="166" t="s">
        <v>259</v>
      </c>
      <c r="M25" s="167"/>
      <c r="N25" s="166" t="s">
        <v>260</v>
      </c>
      <c r="O25" s="166" t="s">
        <v>261</v>
      </c>
      <c r="P25" s="167"/>
      <c r="W25" s="173">
        <f t="shared" si="16"/>
        <v>0.4479166667</v>
      </c>
      <c r="X25" s="169" t="s">
        <v>208</v>
      </c>
      <c r="Y25" s="171">
        <f t="shared" ref="Y25:AK25" si="18">COUNTIFS($N$4:$N$55, "*" &amp;$X25 &amp; "*", $O$4:$O$55, "*" &amp; Y$22 &amp; "*")+COUNTIFS($O$4:$O$55, "*" &amp; $X25 &amp; "*", $N$4:$N$55, "*" &amp; Y$22 &amp; "*")</f>
        <v>1</v>
      </c>
      <c r="Z25" s="171">
        <f t="shared" si="18"/>
        <v>2</v>
      </c>
      <c r="AA25" s="170">
        <f t="shared" si="18"/>
        <v>0</v>
      </c>
      <c r="AB25" s="171">
        <f t="shared" si="18"/>
        <v>2</v>
      </c>
      <c r="AC25" s="171">
        <f t="shared" si="18"/>
        <v>2</v>
      </c>
      <c r="AD25" s="171">
        <f t="shared" si="18"/>
        <v>2</v>
      </c>
      <c r="AE25" s="171">
        <f t="shared" si="18"/>
        <v>2</v>
      </c>
      <c r="AF25" s="171">
        <f t="shared" si="18"/>
        <v>2</v>
      </c>
      <c r="AG25" s="171">
        <f t="shared" si="18"/>
        <v>3</v>
      </c>
      <c r="AH25" s="171">
        <f t="shared" si="18"/>
        <v>3</v>
      </c>
      <c r="AI25" s="171">
        <f t="shared" si="18"/>
        <v>1</v>
      </c>
      <c r="AJ25" s="171">
        <f t="shared" si="18"/>
        <v>1</v>
      </c>
      <c r="AK25" s="171">
        <f t="shared" si="18"/>
        <v>3</v>
      </c>
    </row>
    <row r="26">
      <c r="J26" s="167"/>
      <c r="K26" s="167"/>
      <c r="L26" s="166" t="s">
        <v>262</v>
      </c>
      <c r="M26" s="167"/>
      <c r="N26" s="166" t="s">
        <v>263</v>
      </c>
      <c r="O26" s="166" t="s">
        <v>264</v>
      </c>
      <c r="P26" s="167"/>
      <c r="W26" s="173">
        <f t="shared" si="16"/>
        <v>0.4479166667</v>
      </c>
      <c r="X26" s="169" t="s">
        <v>209</v>
      </c>
      <c r="Y26" s="171">
        <f t="shared" ref="Y26:AK26" si="19">COUNTIFS($N$4:$N$55, "*" &amp;$X26 &amp; "*", $O$4:$O$55, "*" &amp; Y$22 &amp; "*")+COUNTIFS($O$4:$O$55, "*" &amp; $X26 &amp; "*", $N$4:$N$55, "*" &amp; Y$22 &amp; "*")</f>
        <v>3</v>
      </c>
      <c r="Z26" s="171">
        <f t="shared" si="19"/>
        <v>1</v>
      </c>
      <c r="AA26" s="171">
        <f t="shared" si="19"/>
        <v>2</v>
      </c>
      <c r="AB26" s="170">
        <f t="shared" si="19"/>
        <v>0</v>
      </c>
      <c r="AC26" s="171">
        <f t="shared" si="19"/>
        <v>2</v>
      </c>
      <c r="AD26" s="171">
        <f t="shared" si="19"/>
        <v>2</v>
      </c>
      <c r="AE26" s="171">
        <f t="shared" si="19"/>
        <v>2</v>
      </c>
      <c r="AF26" s="171">
        <f t="shared" si="19"/>
        <v>1</v>
      </c>
      <c r="AG26" s="171">
        <f t="shared" si="19"/>
        <v>2</v>
      </c>
      <c r="AH26" s="171">
        <f t="shared" si="19"/>
        <v>2</v>
      </c>
      <c r="AI26" s="171">
        <f t="shared" si="19"/>
        <v>2</v>
      </c>
      <c r="AJ26" s="171">
        <f t="shared" si="19"/>
        <v>3</v>
      </c>
      <c r="AK26" s="171">
        <f t="shared" si="19"/>
        <v>2</v>
      </c>
    </row>
    <row r="27">
      <c r="J27" s="167"/>
      <c r="K27" s="167"/>
      <c r="L27" s="166" t="s">
        <v>265</v>
      </c>
      <c r="M27" s="167"/>
      <c r="N27" s="166" t="s">
        <v>266</v>
      </c>
      <c r="O27" s="166" t="s">
        <v>267</v>
      </c>
      <c r="P27" s="167"/>
      <c r="W27" s="173">
        <f t="shared" si="16"/>
        <v>0.4375</v>
      </c>
      <c r="X27" s="169" t="s">
        <v>210</v>
      </c>
      <c r="Y27" s="171">
        <f t="shared" ref="Y27:AK27" si="20">COUNTIFS($N$4:$N$55, "*" &amp;$X27 &amp; "*", $O$4:$O$55, "*" &amp; Y$22 &amp; "*")+COUNTIFS($O$4:$O$55, "*" &amp; $X27 &amp; "*", $N$4:$N$55, "*" &amp; Y$22 &amp; "*")</f>
        <v>1</v>
      </c>
      <c r="Z27" s="171">
        <f t="shared" si="20"/>
        <v>3</v>
      </c>
      <c r="AA27" s="171">
        <f t="shared" si="20"/>
        <v>2</v>
      </c>
      <c r="AB27" s="171">
        <f t="shared" si="20"/>
        <v>2</v>
      </c>
      <c r="AC27" s="170">
        <f t="shared" si="20"/>
        <v>0</v>
      </c>
      <c r="AD27" s="171">
        <f t="shared" si="20"/>
        <v>2</v>
      </c>
      <c r="AE27" s="171">
        <f t="shared" si="20"/>
        <v>3</v>
      </c>
      <c r="AF27" s="171">
        <f t="shared" si="20"/>
        <v>2</v>
      </c>
      <c r="AG27" s="171">
        <f t="shared" si="20"/>
        <v>2</v>
      </c>
      <c r="AH27" s="171">
        <f t="shared" si="20"/>
        <v>2</v>
      </c>
      <c r="AI27" s="171">
        <f t="shared" si="20"/>
        <v>3</v>
      </c>
      <c r="AJ27" s="171">
        <f t="shared" si="20"/>
        <v>1</v>
      </c>
      <c r="AK27" s="171">
        <f t="shared" si="20"/>
        <v>1</v>
      </c>
    </row>
    <row r="28">
      <c r="J28" s="166" t="s">
        <v>194</v>
      </c>
      <c r="K28" s="167" t="str">
        <f>IFERROR(__xludf.DUMMYFUNCTION("FILTER($X$8:$X$20, NOT(ISNUMBER(SEARCH($X$8:$X$20, TEXTJOIN("", "", TRUE, N29:O31)))))"),"zach")</f>
        <v>zach</v>
      </c>
      <c r="L28" s="168" t="s">
        <v>268</v>
      </c>
      <c r="P28" s="167">
        <f>IFERROR(__xludf.DUMMYFUNCTION("SUMPRODUCT(1/COUNTIF(TRANSPOSE(SPLIT(TEXTJOIN("" "",TRUE,N29:O31),"" "")),TRANSPOSE(SPLIT(TEXTJOIN("" "",TRUE,N29:O31),"" ""))))"),12.0)</f>
        <v>12</v>
      </c>
      <c r="W28" s="173">
        <f t="shared" si="16"/>
        <v>0.4739583333</v>
      </c>
      <c r="X28" s="169" t="s">
        <v>124</v>
      </c>
      <c r="Y28" s="171">
        <f t="shared" ref="Y28:AK28" si="21">COUNTIFS($N$4:$N$55, "*" &amp;$X28 &amp; "*", $O$4:$O$55, "*" &amp; Y$22 &amp; "*")+COUNTIFS($O$4:$O$55, "*" &amp; $X28 &amp; "*", $N$4:$N$55, "*" &amp; Y$22 &amp; "*")</f>
        <v>3</v>
      </c>
      <c r="Z28" s="171">
        <f t="shared" si="21"/>
        <v>2</v>
      </c>
      <c r="AA28" s="171">
        <f t="shared" si="21"/>
        <v>2</v>
      </c>
      <c r="AB28" s="171">
        <f t="shared" si="21"/>
        <v>2</v>
      </c>
      <c r="AC28" s="171">
        <f t="shared" si="21"/>
        <v>2</v>
      </c>
      <c r="AD28" s="170">
        <f t="shared" si="21"/>
        <v>0</v>
      </c>
      <c r="AE28" s="171">
        <f t="shared" si="21"/>
        <v>2</v>
      </c>
      <c r="AF28" s="171">
        <f t="shared" si="21"/>
        <v>1</v>
      </c>
      <c r="AG28" s="171">
        <f t="shared" si="21"/>
        <v>1</v>
      </c>
      <c r="AH28" s="171">
        <f t="shared" si="21"/>
        <v>2</v>
      </c>
      <c r="AI28" s="171">
        <f t="shared" si="21"/>
        <v>2</v>
      </c>
      <c r="AJ28" s="171">
        <f t="shared" si="21"/>
        <v>2</v>
      </c>
      <c r="AK28" s="171">
        <f t="shared" si="21"/>
        <v>3</v>
      </c>
    </row>
    <row r="29">
      <c r="J29" s="167"/>
      <c r="K29" s="167"/>
      <c r="L29" s="166" t="s">
        <v>269</v>
      </c>
      <c r="M29" s="167"/>
      <c r="N29" s="166" t="s">
        <v>270</v>
      </c>
      <c r="O29" s="166" t="s">
        <v>271</v>
      </c>
      <c r="P29" s="167"/>
      <c r="W29" s="173">
        <f t="shared" si="16"/>
        <v>0.4739583333</v>
      </c>
      <c r="X29" s="169" t="s">
        <v>127</v>
      </c>
      <c r="Y29" s="171">
        <f t="shared" ref="Y29:AK29" si="22">COUNTIFS($N$4:$N$55, "*" &amp;$X29 &amp; "*", $O$4:$O$55, "*" &amp; Y$22 &amp; "*")+COUNTIFS($O$4:$O$55, "*" &amp; $X29 &amp; "*", $N$4:$N$55, "*" &amp; Y$22 &amp; "*")</f>
        <v>2</v>
      </c>
      <c r="Z29" s="171">
        <f t="shared" si="22"/>
        <v>1</v>
      </c>
      <c r="AA29" s="171">
        <f t="shared" si="22"/>
        <v>2</v>
      </c>
      <c r="AB29" s="171">
        <f t="shared" si="22"/>
        <v>2</v>
      </c>
      <c r="AC29" s="171">
        <f t="shared" si="22"/>
        <v>3</v>
      </c>
      <c r="AD29" s="171">
        <f t="shared" si="22"/>
        <v>2</v>
      </c>
      <c r="AE29" s="170">
        <f t="shared" si="22"/>
        <v>0</v>
      </c>
      <c r="AF29" s="171">
        <f t="shared" si="22"/>
        <v>3</v>
      </c>
      <c r="AG29" s="171">
        <f t="shared" si="22"/>
        <v>2</v>
      </c>
      <c r="AH29" s="171">
        <f t="shared" si="22"/>
        <v>2</v>
      </c>
      <c r="AI29" s="171">
        <f t="shared" si="22"/>
        <v>1</v>
      </c>
      <c r="AJ29" s="171">
        <f t="shared" si="22"/>
        <v>2</v>
      </c>
      <c r="AK29" s="171">
        <f t="shared" si="22"/>
        <v>2</v>
      </c>
    </row>
    <row r="30">
      <c r="J30" s="167"/>
      <c r="K30" s="167"/>
      <c r="L30" s="166" t="s">
        <v>272</v>
      </c>
      <c r="M30" s="167"/>
      <c r="N30" s="166" t="s">
        <v>273</v>
      </c>
      <c r="O30" s="166" t="s">
        <v>274</v>
      </c>
      <c r="P30" s="167"/>
      <c r="W30" s="173">
        <f t="shared" si="16"/>
        <v>0.4427083333</v>
      </c>
      <c r="X30" s="169" t="s">
        <v>211</v>
      </c>
      <c r="Y30" s="171">
        <f t="shared" ref="Y30:AK30" si="23">COUNTIFS($N$4:$N$55, "*" &amp;$X30 &amp; "*", $O$4:$O$55, "*" &amp; Y$22 &amp; "*")+COUNTIFS($O$4:$O$55, "*" &amp; $X30 &amp; "*", $N$4:$N$55, "*" &amp; Y$22 &amp; "*")</f>
        <v>2</v>
      </c>
      <c r="Z30" s="171">
        <f t="shared" si="23"/>
        <v>1</v>
      </c>
      <c r="AA30" s="171">
        <f t="shared" si="23"/>
        <v>2</v>
      </c>
      <c r="AB30" s="171">
        <f t="shared" si="23"/>
        <v>1</v>
      </c>
      <c r="AC30" s="171">
        <f t="shared" si="23"/>
        <v>2</v>
      </c>
      <c r="AD30" s="171">
        <f t="shared" si="23"/>
        <v>1</v>
      </c>
      <c r="AE30" s="171">
        <f t="shared" si="23"/>
        <v>3</v>
      </c>
      <c r="AF30" s="170">
        <f t="shared" si="23"/>
        <v>0</v>
      </c>
      <c r="AG30" s="171">
        <f t="shared" si="23"/>
        <v>3</v>
      </c>
      <c r="AH30" s="171">
        <f t="shared" si="23"/>
        <v>3</v>
      </c>
      <c r="AI30" s="171">
        <f t="shared" si="23"/>
        <v>1</v>
      </c>
      <c r="AJ30" s="171">
        <f t="shared" si="23"/>
        <v>3</v>
      </c>
      <c r="AK30" s="171">
        <f t="shared" si="23"/>
        <v>2</v>
      </c>
    </row>
    <row r="31">
      <c r="J31" s="167"/>
      <c r="K31" s="167"/>
      <c r="L31" s="166" t="s">
        <v>275</v>
      </c>
      <c r="M31" s="167"/>
      <c r="N31" s="166" t="s">
        <v>276</v>
      </c>
      <c r="O31" s="166" t="s">
        <v>277</v>
      </c>
      <c r="P31" s="167"/>
      <c r="W31" s="173">
        <f t="shared" si="16"/>
        <v>0.4479166667</v>
      </c>
      <c r="X31" s="169" t="s">
        <v>126</v>
      </c>
      <c r="Y31" s="171">
        <f t="shared" ref="Y31:AK31" si="24">COUNTIFS($N$4:$N$55, "*" &amp;$X31 &amp; "*", $O$4:$O$55, "*" &amp; Y$22 &amp; "*")+COUNTIFS($O$4:$O$55, "*" &amp; $X31 &amp; "*", $N$4:$N$55, "*" &amp; Y$22 &amp; "*")</f>
        <v>2</v>
      </c>
      <c r="Z31" s="171">
        <f t="shared" si="24"/>
        <v>2</v>
      </c>
      <c r="AA31" s="171">
        <f t="shared" si="24"/>
        <v>3</v>
      </c>
      <c r="AB31" s="171">
        <f t="shared" si="24"/>
        <v>2</v>
      </c>
      <c r="AC31" s="171">
        <f t="shared" si="24"/>
        <v>2</v>
      </c>
      <c r="AD31" s="171">
        <f t="shared" si="24"/>
        <v>1</v>
      </c>
      <c r="AE31" s="171">
        <f t="shared" si="24"/>
        <v>2</v>
      </c>
      <c r="AF31" s="171">
        <f t="shared" si="24"/>
        <v>3</v>
      </c>
      <c r="AG31" s="170">
        <f t="shared" si="24"/>
        <v>0</v>
      </c>
      <c r="AH31" s="171">
        <f t="shared" si="24"/>
        <v>2</v>
      </c>
      <c r="AI31" s="171">
        <f t="shared" si="24"/>
        <v>2</v>
      </c>
      <c r="AJ31" s="171">
        <f t="shared" si="24"/>
        <v>2</v>
      </c>
      <c r="AK31" s="171">
        <f t="shared" si="24"/>
        <v>1</v>
      </c>
    </row>
    <row r="32">
      <c r="J32" s="166" t="s">
        <v>194</v>
      </c>
      <c r="K32" s="167" t="str">
        <f>IFERROR(__xludf.DUMMYFUNCTION("FILTER($X$8:$X$20, NOT(ISNUMBER(SEARCH($X$8:$X$20, TEXTJOIN("", "", TRUE, N33:O35)))))"),"fred")</f>
        <v>fred</v>
      </c>
      <c r="L32" s="168" t="s">
        <v>278</v>
      </c>
      <c r="P32" s="167">
        <f>IFERROR(__xludf.DUMMYFUNCTION("SUMPRODUCT(1/COUNTIF(TRANSPOSE(SPLIT(TEXTJOIN("" "",TRUE,N33:O35),"" "")),TRANSPOSE(SPLIT(TEXTJOIN("" "",TRUE,N33:O35),"" ""))))"),12.0)</f>
        <v>12</v>
      </c>
      <c r="W32" s="173">
        <f t="shared" si="16"/>
        <v>0.4479166667</v>
      </c>
      <c r="X32" s="169" t="s">
        <v>212</v>
      </c>
      <c r="Y32" s="171">
        <f t="shared" ref="Y32:AK32" si="25">COUNTIFS($N$4:$N$55, "*" &amp;$X32 &amp; "*", $O$4:$O$55, "*" &amp; Y$22 &amp; "*")+COUNTIFS($O$4:$O$55, "*" &amp; $X32 &amp; "*", $N$4:$N$55, "*" &amp; Y$22 &amp; "*")</f>
        <v>2</v>
      </c>
      <c r="Z32" s="171">
        <f t="shared" si="25"/>
        <v>1</v>
      </c>
      <c r="AA32" s="171">
        <f t="shared" si="25"/>
        <v>3</v>
      </c>
      <c r="AB32" s="171">
        <f t="shared" si="25"/>
        <v>2</v>
      </c>
      <c r="AC32" s="171">
        <f t="shared" si="25"/>
        <v>2</v>
      </c>
      <c r="AD32" s="171">
        <f t="shared" si="25"/>
        <v>2</v>
      </c>
      <c r="AE32" s="171">
        <f t="shared" si="25"/>
        <v>2</v>
      </c>
      <c r="AF32" s="171">
        <f t="shared" si="25"/>
        <v>3</v>
      </c>
      <c r="AG32" s="171">
        <f t="shared" si="25"/>
        <v>2</v>
      </c>
      <c r="AH32" s="170">
        <f t="shared" si="25"/>
        <v>0</v>
      </c>
      <c r="AI32" s="171">
        <f t="shared" si="25"/>
        <v>3</v>
      </c>
      <c r="AJ32" s="171">
        <f t="shared" si="25"/>
        <v>1</v>
      </c>
      <c r="AK32" s="171">
        <f t="shared" si="25"/>
        <v>1</v>
      </c>
    </row>
    <row r="33">
      <c r="J33" s="167"/>
      <c r="K33" s="167"/>
      <c r="L33" s="166" t="s">
        <v>279</v>
      </c>
      <c r="M33" s="167"/>
      <c r="N33" s="166" t="s">
        <v>280</v>
      </c>
      <c r="O33" s="166" t="s">
        <v>281</v>
      </c>
      <c r="P33" s="167"/>
      <c r="W33" s="173">
        <f t="shared" si="16"/>
        <v>0.4322916667</v>
      </c>
      <c r="X33" s="169" t="s">
        <v>125</v>
      </c>
      <c r="Y33" s="171">
        <f t="shared" ref="Y33:AK33" si="26">COUNTIFS($N$4:$N$55, "*" &amp;$X33 &amp; "*", $O$4:$O$55, "*" &amp; Y$22 &amp; "*")+COUNTIFS($O$4:$O$55, "*" &amp; $X33 &amp; "*", $N$4:$N$55, "*" &amp; Y$22 &amp; "*")</f>
        <v>3</v>
      </c>
      <c r="Z33" s="171">
        <f t="shared" si="26"/>
        <v>3</v>
      </c>
      <c r="AA33" s="171">
        <f t="shared" si="26"/>
        <v>1</v>
      </c>
      <c r="AB33" s="171">
        <f t="shared" si="26"/>
        <v>2</v>
      </c>
      <c r="AC33" s="171">
        <f t="shared" si="26"/>
        <v>3</v>
      </c>
      <c r="AD33" s="171">
        <f t="shared" si="26"/>
        <v>2</v>
      </c>
      <c r="AE33" s="171">
        <f t="shared" si="26"/>
        <v>1</v>
      </c>
      <c r="AF33" s="171">
        <f t="shared" si="26"/>
        <v>1</v>
      </c>
      <c r="AG33" s="171">
        <f t="shared" si="26"/>
        <v>2</v>
      </c>
      <c r="AH33" s="171">
        <f t="shared" si="26"/>
        <v>3</v>
      </c>
      <c r="AI33" s="170">
        <f t="shared" si="26"/>
        <v>0</v>
      </c>
      <c r="AJ33" s="171">
        <f t="shared" si="26"/>
        <v>2</v>
      </c>
      <c r="AK33" s="171">
        <f t="shared" si="26"/>
        <v>1</v>
      </c>
    </row>
    <row r="34">
      <c r="J34" s="167"/>
      <c r="K34" s="167"/>
      <c r="L34" s="166" t="s">
        <v>282</v>
      </c>
      <c r="M34" s="167"/>
      <c r="N34" s="166" t="s">
        <v>283</v>
      </c>
      <c r="O34" s="166" t="s">
        <v>284</v>
      </c>
      <c r="P34" s="167"/>
      <c r="W34" s="173">
        <f t="shared" si="16"/>
        <v>0.4583333333</v>
      </c>
      <c r="X34" s="169" t="s">
        <v>213</v>
      </c>
      <c r="Y34" s="171">
        <f t="shared" ref="Y34:AK34" si="27">COUNTIFS($N$4:$N$55, "*" &amp;$X34 &amp; "*", $O$4:$O$55, "*" &amp; Y$22 &amp; "*")+COUNTIFS($O$4:$O$55, "*" &amp; $X34 &amp; "*", $N$4:$N$55, "*" &amp; Y$22 &amp; "*")</f>
        <v>1</v>
      </c>
      <c r="Z34" s="171">
        <f t="shared" si="27"/>
        <v>3</v>
      </c>
      <c r="AA34" s="171">
        <f t="shared" si="27"/>
        <v>1</v>
      </c>
      <c r="AB34" s="171">
        <f t="shared" si="27"/>
        <v>3</v>
      </c>
      <c r="AC34" s="171">
        <f t="shared" si="27"/>
        <v>1</v>
      </c>
      <c r="AD34" s="171">
        <f t="shared" si="27"/>
        <v>2</v>
      </c>
      <c r="AE34" s="171">
        <f t="shared" si="27"/>
        <v>2</v>
      </c>
      <c r="AF34" s="171">
        <f t="shared" si="27"/>
        <v>3</v>
      </c>
      <c r="AG34" s="171">
        <f t="shared" si="27"/>
        <v>2</v>
      </c>
      <c r="AH34" s="171">
        <f t="shared" si="27"/>
        <v>1</v>
      </c>
      <c r="AI34" s="171">
        <f t="shared" si="27"/>
        <v>2</v>
      </c>
      <c r="AJ34" s="170">
        <f t="shared" si="27"/>
        <v>0</v>
      </c>
      <c r="AK34" s="171">
        <f t="shared" si="27"/>
        <v>3</v>
      </c>
    </row>
    <row r="35">
      <c r="J35" s="167"/>
      <c r="K35" s="167"/>
      <c r="L35" s="166" t="s">
        <v>285</v>
      </c>
      <c r="M35" s="167"/>
      <c r="N35" s="166" t="s">
        <v>286</v>
      </c>
      <c r="O35" s="166" t="s">
        <v>287</v>
      </c>
      <c r="P35" s="167"/>
      <c r="W35" s="173">
        <f t="shared" si="16"/>
        <v>0.4270833333</v>
      </c>
      <c r="X35" s="169" t="s">
        <v>214</v>
      </c>
      <c r="Y35" s="171">
        <f t="shared" ref="Y35:AK35" si="28">COUNTIFS($N$4:$N$55, "*" &amp;$X35 &amp; "*", $O$4:$O$55, "*" &amp; Y$22 &amp; "*")+COUNTIFS($O$4:$O$55, "*" &amp; $X35 &amp; "*", $N$4:$N$55, "*" &amp; Y$22 &amp; "*")</f>
        <v>2</v>
      </c>
      <c r="Z35" s="171">
        <f t="shared" si="28"/>
        <v>3</v>
      </c>
      <c r="AA35" s="171">
        <f t="shared" si="28"/>
        <v>3</v>
      </c>
      <c r="AB35" s="171">
        <f t="shared" si="28"/>
        <v>2</v>
      </c>
      <c r="AC35" s="171">
        <f t="shared" si="28"/>
        <v>1</v>
      </c>
      <c r="AD35" s="171">
        <f t="shared" si="28"/>
        <v>3</v>
      </c>
      <c r="AE35" s="171">
        <f t="shared" si="28"/>
        <v>2</v>
      </c>
      <c r="AF35" s="171">
        <f t="shared" si="28"/>
        <v>2</v>
      </c>
      <c r="AG35" s="171">
        <f t="shared" si="28"/>
        <v>1</v>
      </c>
      <c r="AH35" s="171">
        <f t="shared" si="28"/>
        <v>1</v>
      </c>
      <c r="AI35" s="171">
        <f t="shared" si="28"/>
        <v>1</v>
      </c>
      <c r="AJ35" s="171">
        <f t="shared" si="28"/>
        <v>3</v>
      </c>
      <c r="AK35" s="170">
        <f t="shared" si="28"/>
        <v>0</v>
      </c>
    </row>
    <row r="36">
      <c r="J36" s="166" t="s">
        <v>194</v>
      </c>
      <c r="K36" s="167" t="str">
        <f>IFERROR(__xludf.DUMMYFUNCTION("FILTER($X$8:$X$20, NOT(ISNUMBER(SEARCH($X$8:$X$20, TEXTJOIN("", "", TRUE, N37:O39)))))"),"steve")</f>
        <v>steve</v>
      </c>
      <c r="L36" s="168" t="s">
        <v>288</v>
      </c>
      <c r="P36" s="167">
        <f>IFERROR(__xludf.DUMMYFUNCTION("SUMPRODUCT(1/COUNTIF(TRANSPOSE(SPLIT(TEXTJOIN("" "",TRUE,N37:O39),"" "")),TRANSPOSE(SPLIT(TEXTJOIN("" "",TRUE,N37:O39),"" ""))))"),12.0)</f>
        <v>12</v>
      </c>
    </row>
    <row r="37">
      <c r="J37" s="167"/>
      <c r="K37" s="167"/>
      <c r="L37" s="166" t="s">
        <v>289</v>
      </c>
      <c r="M37" s="167"/>
      <c r="N37" s="166" t="s">
        <v>290</v>
      </c>
      <c r="O37" s="166" t="s">
        <v>291</v>
      </c>
      <c r="P37" s="167"/>
    </row>
    <row r="38">
      <c r="J38" s="167"/>
      <c r="K38" s="167"/>
      <c r="L38" s="166" t="s">
        <v>292</v>
      </c>
      <c r="M38" s="167"/>
      <c r="N38" s="166" t="s">
        <v>293</v>
      </c>
      <c r="O38" s="166" t="s">
        <v>294</v>
      </c>
      <c r="P38" s="167"/>
    </row>
    <row r="39">
      <c r="J39" s="167"/>
      <c r="K39" s="167"/>
      <c r="L39" s="166" t="s">
        <v>295</v>
      </c>
      <c r="M39" s="167"/>
      <c r="N39" s="166" t="s">
        <v>296</v>
      </c>
      <c r="O39" s="166" t="s">
        <v>297</v>
      </c>
      <c r="P39" s="167"/>
      <c r="Y39" s="120" t="s">
        <v>298</v>
      </c>
    </row>
    <row r="40">
      <c r="J40" s="166" t="s">
        <v>194</v>
      </c>
      <c r="K40" s="167" t="str">
        <f>IFERROR(__xludf.DUMMYFUNCTION("FILTER($X$8:$X$20, NOT(ISNUMBER(SEARCH($X$8:$X$20, TEXTJOIN("", "", TRUE, N41:O43)))))"),"michael")</f>
        <v>michael</v>
      </c>
      <c r="L40" s="168" t="s">
        <v>299</v>
      </c>
      <c r="P40" s="167">
        <f>IFERROR(__xludf.DUMMYFUNCTION("SUMPRODUCT(1/COUNTIF(TRANSPOSE(SPLIT(TEXTJOIN("" "",TRUE,N41:O43),"" "")),TRANSPOSE(SPLIT(TEXTJOIN("" "",TRUE,N41:O43),"" ""))))"),12.0)</f>
        <v>12</v>
      </c>
      <c r="X40" s="84" t="s">
        <v>300</v>
      </c>
      <c r="Y40" s="120" t="s">
        <v>301</v>
      </c>
      <c r="Z40" s="120" t="s">
        <v>302</v>
      </c>
    </row>
    <row r="41">
      <c r="J41" s="167"/>
      <c r="K41" s="167"/>
      <c r="L41" s="166" t="s">
        <v>303</v>
      </c>
      <c r="M41" s="167"/>
      <c r="N41" s="166" t="s">
        <v>304</v>
      </c>
      <c r="O41" s="166" t="s">
        <v>305</v>
      </c>
      <c r="P41" s="167"/>
      <c r="X41" s="169" t="s">
        <v>206</v>
      </c>
      <c r="Y41" s="174">
        <v>5.0</v>
      </c>
      <c r="Z41" s="174">
        <v>3.0</v>
      </c>
    </row>
    <row r="42">
      <c r="J42" s="167"/>
      <c r="K42" s="167"/>
      <c r="L42" s="166" t="s">
        <v>306</v>
      </c>
      <c r="M42" s="167"/>
      <c r="N42" s="166" t="s">
        <v>307</v>
      </c>
      <c r="O42" s="166" t="s">
        <v>308</v>
      </c>
      <c r="P42" s="167"/>
      <c r="X42" s="169" t="s">
        <v>207</v>
      </c>
      <c r="Y42" s="174">
        <v>1.0</v>
      </c>
      <c r="Z42" s="174">
        <v>7.0</v>
      </c>
    </row>
    <row r="43">
      <c r="J43" s="167"/>
      <c r="K43" s="167"/>
      <c r="L43" s="166" t="s">
        <v>309</v>
      </c>
      <c r="M43" s="167"/>
      <c r="N43" s="166" t="s">
        <v>310</v>
      </c>
      <c r="O43" s="166" t="s">
        <v>311</v>
      </c>
      <c r="P43" s="167"/>
      <c r="X43" s="169" t="s">
        <v>208</v>
      </c>
      <c r="Y43" s="174">
        <v>5.0</v>
      </c>
      <c r="Z43" s="174">
        <v>3.0</v>
      </c>
    </row>
    <row r="44">
      <c r="J44" s="166" t="s">
        <v>194</v>
      </c>
      <c r="K44" s="167" t="str">
        <f>IFERROR(__xludf.DUMMYFUNCTION("FILTER($X$8:$X$20, NOT(ISNUMBER(SEARCH($X$8:$X$20, TEXTJOIN("", "", TRUE, N45:O47)))))"),"emanuel")</f>
        <v>emanuel</v>
      </c>
      <c r="L44" s="168" t="s">
        <v>312</v>
      </c>
      <c r="P44" s="167">
        <f>IFERROR(__xludf.DUMMYFUNCTION("SUMPRODUCT(1/COUNTIF(TRANSPOSE(SPLIT(TEXTJOIN("" "",TRUE,N45:O47),"" "")),TRANSPOSE(SPLIT(TEXTJOIN("" "",TRUE,N45:O47),"" ""))))"),12.0)</f>
        <v>12</v>
      </c>
      <c r="X44" s="169" t="s">
        <v>209</v>
      </c>
      <c r="Y44" s="174">
        <v>6.0</v>
      </c>
      <c r="Z44" s="174">
        <v>2.0</v>
      </c>
    </row>
    <row r="45">
      <c r="J45" s="167"/>
      <c r="K45" s="167"/>
      <c r="L45" s="166" t="s">
        <v>313</v>
      </c>
      <c r="M45" s="167"/>
      <c r="N45" s="166" t="s">
        <v>314</v>
      </c>
      <c r="O45" s="166" t="s">
        <v>315</v>
      </c>
      <c r="P45" s="167"/>
      <c r="X45" s="169" t="s">
        <v>210</v>
      </c>
      <c r="Y45" s="174">
        <v>1.0</v>
      </c>
      <c r="Z45" s="174">
        <v>7.0</v>
      </c>
    </row>
    <row r="46">
      <c r="J46" s="167"/>
      <c r="K46" s="167"/>
      <c r="L46" s="166" t="s">
        <v>316</v>
      </c>
      <c r="M46" s="167"/>
      <c r="N46" s="166" t="s">
        <v>317</v>
      </c>
      <c r="O46" s="166" t="s">
        <v>318</v>
      </c>
      <c r="P46" s="167"/>
      <c r="X46" s="169" t="s">
        <v>124</v>
      </c>
      <c r="Y46" s="174">
        <v>4.0</v>
      </c>
      <c r="Z46" s="174">
        <v>4.0</v>
      </c>
    </row>
    <row r="47">
      <c r="J47" s="167"/>
      <c r="K47" s="167"/>
      <c r="L47" s="166" t="s">
        <v>319</v>
      </c>
      <c r="M47" s="167"/>
      <c r="N47" s="166" t="s">
        <v>320</v>
      </c>
      <c r="O47" s="166" t="s">
        <v>321</v>
      </c>
      <c r="P47" s="167"/>
      <c r="X47" s="169" t="s">
        <v>127</v>
      </c>
      <c r="Y47" s="174">
        <v>1.0</v>
      </c>
      <c r="Z47" s="174">
        <v>7.0</v>
      </c>
    </row>
    <row r="48">
      <c r="J48" s="166" t="s">
        <v>194</v>
      </c>
      <c r="K48" s="167" t="str">
        <f>IFERROR(__xludf.DUMMYFUNCTION("FILTER($X$8:$X$20, NOT(ISNUMBER(SEARCH($X$8:$X$20, TEXTJOIN("", "", TRUE, N49:O51)))))"),"tim")</f>
        <v>tim</v>
      </c>
      <c r="L48" s="168" t="s">
        <v>322</v>
      </c>
      <c r="P48" s="167">
        <f>IFERROR(__xludf.DUMMYFUNCTION("SUMPRODUCT(1/COUNTIF(TRANSPOSE(SPLIT(TEXTJOIN("" "",TRUE,N49:O51),"" "")),TRANSPOSE(SPLIT(TEXTJOIN("" "",TRUE,N49:O51),"" ""))))"),12.0)</f>
        <v>12</v>
      </c>
      <c r="X48" s="169" t="s">
        <v>211</v>
      </c>
      <c r="Y48" s="174">
        <v>3.0</v>
      </c>
      <c r="Z48" s="174">
        <v>5.0</v>
      </c>
    </row>
    <row r="49">
      <c r="J49" s="167"/>
      <c r="K49" s="167"/>
      <c r="L49" s="166" t="s">
        <v>323</v>
      </c>
      <c r="M49" s="167"/>
      <c r="N49" s="166" t="s">
        <v>324</v>
      </c>
      <c r="O49" s="166" t="s">
        <v>325</v>
      </c>
      <c r="P49" s="167"/>
      <c r="X49" s="169" t="s">
        <v>126</v>
      </c>
      <c r="Y49" s="174">
        <v>3.0</v>
      </c>
      <c r="Z49" s="174">
        <v>5.0</v>
      </c>
    </row>
    <row r="50">
      <c r="J50" s="167"/>
      <c r="K50" s="167"/>
      <c r="L50" s="166" t="s">
        <v>326</v>
      </c>
      <c r="M50" s="167"/>
      <c r="N50" s="166" t="s">
        <v>327</v>
      </c>
      <c r="O50" s="166" t="s">
        <v>328</v>
      </c>
      <c r="P50" s="167"/>
      <c r="X50" s="169" t="s">
        <v>212</v>
      </c>
      <c r="Y50" s="174">
        <v>5.0</v>
      </c>
      <c r="Z50" s="174">
        <v>3.0</v>
      </c>
    </row>
    <row r="51">
      <c r="J51" s="167"/>
      <c r="K51" s="167"/>
      <c r="L51" s="166" t="s">
        <v>329</v>
      </c>
      <c r="M51" s="167"/>
      <c r="N51" s="166" t="s">
        <v>330</v>
      </c>
      <c r="O51" s="166" t="s">
        <v>331</v>
      </c>
      <c r="P51" s="167"/>
      <c r="X51" s="169" t="s">
        <v>125</v>
      </c>
      <c r="Y51" s="174">
        <v>4.0</v>
      </c>
      <c r="Z51" s="174">
        <v>4.0</v>
      </c>
    </row>
    <row r="52">
      <c r="J52" s="166" t="s">
        <v>194</v>
      </c>
      <c r="K52" s="167" t="str">
        <f>IFERROR(__xludf.DUMMYFUNCTION("FILTER($X$8:$X$20, NOT(ISNUMBER(SEARCH($X$8:$X$20, TEXTJOIN("", "", TRUE, N53:O55)))))"),"brian")</f>
        <v>brian</v>
      </c>
      <c r="L52" s="168" t="s">
        <v>332</v>
      </c>
      <c r="P52" s="167">
        <f>IFERROR(__xludf.DUMMYFUNCTION("SUMPRODUCT(1/COUNTIF(TRANSPOSE(SPLIT(TEXTJOIN("" "",TRUE,N53:O55),"" "")),TRANSPOSE(SPLIT(TEXTJOIN("" "",TRUE,N53:O55),"" ""))))"),12.0)</f>
        <v>12</v>
      </c>
      <c r="X52" s="169" t="s">
        <v>213</v>
      </c>
      <c r="Y52" s="174">
        <v>3.0</v>
      </c>
      <c r="Z52" s="174">
        <v>5.0</v>
      </c>
    </row>
    <row r="53">
      <c r="J53" s="167"/>
      <c r="K53" s="167"/>
      <c r="L53" s="166" t="s">
        <v>333</v>
      </c>
      <c r="M53" s="167"/>
      <c r="N53" s="166" t="s">
        <v>334</v>
      </c>
      <c r="O53" s="166" t="s">
        <v>335</v>
      </c>
      <c r="P53" s="167"/>
      <c r="X53" s="169" t="s">
        <v>214</v>
      </c>
      <c r="Y53" s="174">
        <v>6.0</v>
      </c>
      <c r="Z53" s="174">
        <v>2.0</v>
      </c>
    </row>
    <row r="54">
      <c r="J54" s="167"/>
      <c r="K54" s="167"/>
      <c r="L54" s="166" t="s">
        <v>336</v>
      </c>
      <c r="M54" s="167"/>
      <c r="N54" s="166" t="s">
        <v>337</v>
      </c>
      <c r="O54" s="166" t="s">
        <v>338</v>
      </c>
      <c r="P54" s="167"/>
    </row>
    <row r="55">
      <c r="J55" s="167"/>
      <c r="K55" s="167"/>
      <c r="L55" s="166" t="s">
        <v>339</v>
      </c>
      <c r="M55" s="167"/>
      <c r="N55" s="166" t="s">
        <v>340</v>
      </c>
      <c r="O55" s="166" t="s">
        <v>341</v>
      </c>
      <c r="P55" s="167"/>
    </row>
    <row r="57">
      <c r="J57" s="91"/>
    </row>
    <row r="58">
      <c r="J58" s="91"/>
    </row>
    <row r="59">
      <c r="J59" s="91"/>
    </row>
    <row r="61">
      <c r="J61" s="91"/>
    </row>
    <row r="62">
      <c r="J62" s="91"/>
    </row>
    <row r="63">
      <c r="J63" s="91"/>
    </row>
    <row r="65">
      <c r="J65" s="91"/>
    </row>
    <row r="66">
      <c r="J66" s="91"/>
    </row>
    <row r="67">
      <c r="J67" s="91"/>
    </row>
    <row r="68">
      <c r="J68" s="91"/>
    </row>
    <row r="69">
      <c r="J69" s="91"/>
    </row>
    <row r="70">
      <c r="J70" s="91"/>
    </row>
    <row r="71">
      <c r="J71" s="91"/>
    </row>
    <row r="72">
      <c r="J72" s="91"/>
    </row>
    <row r="73">
      <c r="J73" s="91"/>
    </row>
    <row r="74">
      <c r="J74" s="91"/>
    </row>
    <row r="75">
      <c r="J75" s="91"/>
    </row>
    <row r="76">
      <c r="J76" s="91"/>
    </row>
    <row r="77">
      <c r="J77" s="91"/>
    </row>
    <row r="78">
      <c r="J78" s="91"/>
    </row>
    <row r="79">
      <c r="J79" s="91"/>
    </row>
    <row r="80">
      <c r="J80" s="91"/>
    </row>
    <row r="81">
      <c r="J81" s="91"/>
    </row>
    <row r="82">
      <c r="J82" s="91"/>
    </row>
    <row r="83">
      <c r="J83" s="91"/>
    </row>
    <row r="84">
      <c r="J84" s="91"/>
    </row>
    <row r="85">
      <c r="J85" s="91"/>
    </row>
    <row r="86">
      <c r="J86" s="91"/>
    </row>
    <row r="87">
      <c r="J87" s="91"/>
      <c r="AL87" s="84" t="s">
        <v>206</v>
      </c>
      <c r="AM87" s="84" t="s">
        <v>207</v>
      </c>
      <c r="AN87" s="84" t="s">
        <v>208</v>
      </c>
      <c r="AO87" s="84" t="s">
        <v>209</v>
      </c>
      <c r="AP87" s="84" t="s">
        <v>210</v>
      </c>
      <c r="AQ87" s="84" t="s">
        <v>124</v>
      </c>
      <c r="AR87" s="84" t="s">
        <v>211</v>
      </c>
      <c r="AS87" s="84" t="s">
        <v>126</v>
      </c>
      <c r="AT87" s="84" t="s">
        <v>212</v>
      </c>
      <c r="AU87" s="84" t="s">
        <v>125</v>
      </c>
      <c r="AV87" s="84" t="s">
        <v>213</v>
      </c>
      <c r="AW87" s="84" t="s">
        <v>214</v>
      </c>
      <c r="AX87" s="84" t="s">
        <v>215</v>
      </c>
    </row>
    <row r="88">
      <c r="J88" s="91"/>
    </row>
    <row r="89">
      <c r="J89" s="91"/>
    </row>
    <row r="90">
      <c r="J90" s="91"/>
    </row>
    <row r="91">
      <c r="J91" s="91"/>
    </row>
    <row r="92">
      <c r="J92" s="91"/>
    </row>
    <row r="93">
      <c r="J93" s="91"/>
    </row>
    <row r="94">
      <c r="J94" s="91"/>
    </row>
    <row r="95">
      <c r="J95" s="91"/>
    </row>
    <row r="96">
      <c r="J96" s="91"/>
    </row>
    <row r="97">
      <c r="J97" s="91"/>
    </row>
    <row r="98">
      <c r="J98" s="91"/>
    </row>
    <row r="99">
      <c r="J99" s="91"/>
    </row>
    <row r="100">
      <c r="J100" s="91"/>
    </row>
    <row r="101">
      <c r="J101" s="91"/>
    </row>
    <row r="102">
      <c r="J102" s="91"/>
    </row>
    <row r="103">
      <c r="J103" s="91"/>
    </row>
    <row r="104">
      <c r="J104" s="91"/>
    </row>
    <row r="105">
      <c r="J105" s="91"/>
    </row>
    <row r="106">
      <c r="J106" s="91"/>
    </row>
    <row r="107">
      <c r="J107" s="91"/>
    </row>
    <row r="108">
      <c r="J108" s="91"/>
    </row>
    <row r="109">
      <c r="J109" s="91"/>
    </row>
    <row r="110">
      <c r="J110" s="91"/>
    </row>
    <row r="111">
      <c r="J111" s="91"/>
    </row>
    <row r="112">
      <c r="J112" s="91"/>
    </row>
    <row r="113">
      <c r="J113" s="91"/>
    </row>
    <row r="114">
      <c r="J114" s="91"/>
    </row>
    <row r="115">
      <c r="J115" s="91"/>
    </row>
    <row r="116">
      <c r="J116" s="91"/>
    </row>
    <row r="117">
      <c r="J117" s="91"/>
    </row>
    <row r="118">
      <c r="J118" s="91"/>
    </row>
    <row r="119">
      <c r="J119" s="91"/>
    </row>
    <row r="120">
      <c r="J120" s="91"/>
    </row>
    <row r="121">
      <c r="J121" s="91"/>
    </row>
    <row r="122">
      <c r="J122" s="91"/>
    </row>
    <row r="123">
      <c r="J123" s="91"/>
    </row>
    <row r="124">
      <c r="J124" s="91"/>
    </row>
    <row r="125">
      <c r="J125" s="91"/>
    </row>
    <row r="126">
      <c r="J126" s="91"/>
    </row>
    <row r="127">
      <c r="J127" s="91"/>
    </row>
    <row r="128">
      <c r="J128" s="91"/>
    </row>
    <row r="129">
      <c r="J129" s="91"/>
    </row>
    <row r="130">
      <c r="J130" s="91"/>
    </row>
    <row r="131">
      <c r="J131" s="91"/>
    </row>
    <row r="132">
      <c r="J132" s="91"/>
    </row>
    <row r="133">
      <c r="J133" s="91"/>
    </row>
    <row r="134">
      <c r="J134" s="91"/>
    </row>
    <row r="135">
      <c r="J135" s="91"/>
    </row>
    <row r="136">
      <c r="J136" s="91"/>
    </row>
    <row r="137">
      <c r="J137" s="91"/>
    </row>
    <row r="138">
      <c r="J138" s="91"/>
    </row>
    <row r="139">
      <c r="J139" s="91"/>
    </row>
    <row r="140">
      <c r="J140" s="91"/>
    </row>
    <row r="141">
      <c r="J141" s="91"/>
    </row>
    <row r="142">
      <c r="J142" s="91"/>
    </row>
    <row r="143">
      <c r="J143" s="91"/>
    </row>
    <row r="144">
      <c r="J144" s="91"/>
    </row>
    <row r="145">
      <c r="J145" s="91"/>
    </row>
    <row r="146">
      <c r="J146" s="91"/>
    </row>
    <row r="147">
      <c r="J147" s="91"/>
    </row>
    <row r="148">
      <c r="J148" s="91"/>
    </row>
    <row r="149">
      <c r="J149" s="91"/>
    </row>
    <row r="150">
      <c r="J150" s="91"/>
    </row>
    <row r="151">
      <c r="J151" s="91"/>
    </row>
    <row r="152">
      <c r="J152" s="91"/>
    </row>
    <row r="153">
      <c r="J153" s="91"/>
    </row>
    <row r="154">
      <c r="J154" s="91"/>
    </row>
    <row r="155">
      <c r="J155" s="91"/>
    </row>
    <row r="156">
      <c r="J156" s="91"/>
    </row>
    <row r="157">
      <c r="J157" s="91"/>
    </row>
    <row r="158">
      <c r="J158" s="91"/>
    </row>
    <row r="159">
      <c r="J159" s="91"/>
    </row>
    <row r="160">
      <c r="J160" s="91"/>
    </row>
    <row r="161">
      <c r="J161" s="91"/>
    </row>
    <row r="162">
      <c r="J162" s="91"/>
    </row>
    <row r="163">
      <c r="J163" s="91"/>
    </row>
    <row r="164">
      <c r="J164" s="91"/>
    </row>
    <row r="165">
      <c r="J165" s="91"/>
    </row>
    <row r="166">
      <c r="J166" s="91"/>
    </row>
    <row r="167">
      <c r="J167" s="91"/>
    </row>
    <row r="168">
      <c r="J168" s="91"/>
    </row>
    <row r="169">
      <c r="J169" s="91"/>
    </row>
    <row r="170">
      <c r="J170" s="91"/>
    </row>
    <row r="171">
      <c r="J171" s="91"/>
    </row>
    <row r="172">
      <c r="J172" s="91"/>
    </row>
    <row r="173">
      <c r="J173" s="91"/>
    </row>
    <row r="174">
      <c r="J174" s="91"/>
    </row>
    <row r="175">
      <c r="J175" s="91"/>
    </row>
    <row r="176">
      <c r="J176" s="91"/>
    </row>
    <row r="177">
      <c r="J177" s="91"/>
    </row>
    <row r="178">
      <c r="J178" s="91"/>
    </row>
    <row r="179">
      <c r="J179" s="91"/>
    </row>
    <row r="180">
      <c r="J180" s="91"/>
    </row>
    <row r="181">
      <c r="J181" s="91"/>
    </row>
    <row r="182">
      <c r="J182" s="91"/>
    </row>
    <row r="183">
      <c r="J183" s="91"/>
    </row>
    <row r="184">
      <c r="J184" s="91"/>
    </row>
    <row r="185">
      <c r="J185" s="91"/>
    </row>
    <row r="186">
      <c r="J186" s="91"/>
    </row>
    <row r="187">
      <c r="J187" s="91"/>
    </row>
    <row r="188">
      <c r="J188" s="91"/>
    </row>
    <row r="189">
      <c r="J189" s="91"/>
    </row>
    <row r="190">
      <c r="J190" s="91"/>
    </row>
    <row r="191">
      <c r="J191" s="91"/>
    </row>
    <row r="192">
      <c r="J192" s="91"/>
    </row>
    <row r="193">
      <c r="J193" s="91"/>
    </row>
    <row r="194">
      <c r="J194" s="91"/>
    </row>
    <row r="195">
      <c r="J195" s="91"/>
    </row>
    <row r="196">
      <c r="J196" s="91"/>
    </row>
    <row r="197">
      <c r="J197" s="91"/>
    </row>
    <row r="198">
      <c r="J198" s="91"/>
    </row>
    <row r="199">
      <c r="J199" s="91"/>
    </row>
    <row r="200">
      <c r="J200" s="91"/>
    </row>
    <row r="201">
      <c r="J201" s="91"/>
    </row>
    <row r="202">
      <c r="J202" s="91"/>
    </row>
    <row r="203">
      <c r="J203" s="91"/>
    </row>
    <row r="204">
      <c r="J204" s="91"/>
    </row>
    <row r="205">
      <c r="J205" s="91"/>
    </row>
    <row r="206">
      <c r="J206" s="91"/>
    </row>
    <row r="207">
      <c r="J207" s="91"/>
    </row>
    <row r="208">
      <c r="J208" s="91"/>
    </row>
    <row r="209">
      <c r="J209" s="91"/>
    </row>
    <row r="210">
      <c r="J210" s="91"/>
    </row>
    <row r="211">
      <c r="J211" s="91"/>
    </row>
    <row r="212">
      <c r="J212" s="91"/>
    </row>
    <row r="213">
      <c r="J213" s="91"/>
    </row>
    <row r="214">
      <c r="J214" s="91"/>
    </row>
    <row r="215">
      <c r="J215" s="91"/>
    </row>
    <row r="216">
      <c r="J216" s="91"/>
    </row>
    <row r="217">
      <c r="J217" s="91"/>
    </row>
    <row r="218">
      <c r="J218" s="91"/>
    </row>
    <row r="219">
      <c r="J219" s="91"/>
    </row>
    <row r="220">
      <c r="J220" s="91"/>
    </row>
    <row r="221">
      <c r="J221" s="91"/>
    </row>
    <row r="222">
      <c r="J222" s="91"/>
    </row>
    <row r="223">
      <c r="J223" s="91"/>
    </row>
    <row r="224">
      <c r="J224" s="91"/>
    </row>
    <row r="225">
      <c r="J225" s="91"/>
    </row>
    <row r="226">
      <c r="J226" s="91"/>
    </row>
    <row r="227">
      <c r="J227" s="91"/>
    </row>
    <row r="228">
      <c r="J228" s="91"/>
    </row>
    <row r="229">
      <c r="J229" s="91"/>
    </row>
    <row r="230">
      <c r="J230" s="91"/>
    </row>
    <row r="231">
      <c r="J231" s="91"/>
    </row>
    <row r="232">
      <c r="J232" s="91"/>
    </row>
    <row r="233">
      <c r="J233" s="91"/>
    </row>
    <row r="234">
      <c r="J234" s="91"/>
    </row>
    <row r="235">
      <c r="J235" s="91"/>
    </row>
    <row r="236">
      <c r="J236" s="91"/>
    </row>
    <row r="237">
      <c r="J237" s="91"/>
    </row>
    <row r="238">
      <c r="J238" s="91"/>
    </row>
    <row r="239">
      <c r="J239" s="91"/>
    </row>
    <row r="240">
      <c r="J240" s="91"/>
    </row>
    <row r="241">
      <c r="J241" s="91"/>
    </row>
    <row r="242">
      <c r="J242" s="91"/>
    </row>
    <row r="243">
      <c r="J243" s="91"/>
    </row>
    <row r="244">
      <c r="J244" s="91"/>
    </row>
    <row r="245">
      <c r="J245" s="91"/>
    </row>
    <row r="246">
      <c r="J246" s="91"/>
    </row>
    <row r="247">
      <c r="J247" s="91"/>
    </row>
    <row r="248">
      <c r="J248" s="91"/>
    </row>
    <row r="249">
      <c r="J249" s="91"/>
    </row>
    <row r="250">
      <c r="J250" s="91"/>
    </row>
    <row r="251">
      <c r="J251" s="91"/>
    </row>
    <row r="252">
      <c r="J252" s="91"/>
    </row>
    <row r="253">
      <c r="J253" s="91"/>
    </row>
    <row r="254">
      <c r="J254" s="91"/>
    </row>
    <row r="255">
      <c r="J255" s="91"/>
    </row>
    <row r="256">
      <c r="J256" s="91"/>
    </row>
    <row r="257">
      <c r="J257" s="91"/>
    </row>
    <row r="258">
      <c r="J258" s="91"/>
    </row>
    <row r="259">
      <c r="J259" s="91"/>
    </row>
    <row r="260">
      <c r="J260" s="91"/>
    </row>
    <row r="261">
      <c r="J261" s="91"/>
    </row>
    <row r="262">
      <c r="J262" s="91"/>
    </row>
    <row r="263">
      <c r="J263" s="91"/>
    </row>
    <row r="264">
      <c r="J264" s="91"/>
    </row>
    <row r="265">
      <c r="J265" s="91"/>
    </row>
    <row r="266">
      <c r="J266" s="91"/>
    </row>
    <row r="267">
      <c r="J267" s="91"/>
    </row>
    <row r="268">
      <c r="J268" s="91"/>
    </row>
    <row r="269">
      <c r="J269" s="91"/>
    </row>
    <row r="270">
      <c r="J270" s="91"/>
    </row>
    <row r="271">
      <c r="J271" s="91"/>
    </row>
    <row r="272">
      <c r="J272" s="91"/>
    </row>
    <row r="273">
      <c r="J273" s="91"/>
    </row>
    <row r="274">
      <c r="J274" s="91"/>
    </row>
    <row r="275">
      <c r="J275" s="91"/>
    </row>
    <row r="276">
      <c r="J276" s="91"/>
    </row>
    <row r="277">
      <c r="J277" s="91"/>
    </row>
    <row r="278">
      <c r="J278" s="91"/>
    </row>
    <row r="279">
      <c r="J279" s="91"/>
    </row>
    <row r="280">
      <c r="J280" s="91"/>
    </row>
    <row r="281">
      <c r="J281" s="91"/>
    </row>
    <row r="282">
      <c r="J282" s="91"/>
    </row>
    <row r="283">
      <c r="J283" s="91"/>
    </row>
    <row r="284">
      <c r="J284" s="91"/>
    </row>
    <row r="285">
      <c r="J285" s="91"/>
    </row>
    <row r="286">
      <c r="J286" s="91"/>
    </row>
    <row r="287">
      <c r="J287" s="91"/>
    </row>
    <row r="288">
      <c r="J288" s="91"/>
    </row>
    <row r="289">
      <c r="J289" s="91"/>
    </row>
    <row r="290">
      <c r="J290" s="91"/>
    </row>
    <row r="291">
      <c r="J291" s="91"/>
    </row>
    <row r="292">
      <c r="J292" s="91"/>
    </row>
    <row r="293">
      <c r="J293" s="91"/>
    </row>
    <row r="294">
      <c r="J294" s="91"/>
    </row>
    <row r="295">
      <c r="J295" s="91"/>
    </row>
    <row r="296">
      <c r="J296" s="91"/>
    </row>
    <row r="297">
      <c r="J297" s="91"/>
    </row>
    <row r="298">
      <c r="J298" s="91"/>
    </row>
    <row r="299">
      <c r="J299" s="91"/>
    </row>
    <row r="300">
      <c r="J300" s="91"/>
    </row>
    <row r="301">
      <c r="J301" s="91"/>
    </row>
    <row r="302">
      <c r="J302" s="91"/>
    </row>
    <row r="303">
      <c r="J303" s="91"/>
    </row>
    <row r="304">
      <c r="J304" s="91"/>
    </row>
    <row r="305">
      <c r="J305" s="91"/>
    </row>
    <row r="306">
      <c r="J306" s="91"/>
    </row>
    <row r="307">
      <c r="J307" s="91"/>
    </row>
    <row r="308">
      <c r="J308" s="91"/>
    </row>
    <row r="309">
      <c r="J309" s="91"/>
    </row>
    <row r="310">
      <c r="J310" s="91"/>
    </row>
    <row r="311">
      <c r="J311" s="91"/>
    </row>
    <row r="312">
      <c r="J312" s="91"/>
    </row>
    <row r="313">
      <c r="J313" s="91"/>
    </row>
    <row r="314">
      <c r="J314" s="91"/>
    </row>
    <row r="315">
      <c r="J315" s="91"/>
    </row>
    <row r="316">
      <c r="J316" s="91"/>
    </row>
    <row r="317">
      <c r="J317" s="91"/>
    </row>
    <row r="318">
      <c r="J318" s="91"/>
    </row>
    <row r="319">
      <c r="J319" s="91"/>
    </row>
    <row r="320">
      <c r="J320" s="91"/>
    </row>
    <row r="321">
      <c r="J321" s="91"/>
    </row>
    <row r="322">
      <c r="J322" s="91"/>
    </row>
    <row r="323">
      <c r="J323" s="91"/>
    </row>
    <row r="324">
      <c r="J324" s="91"/>
    </row>
    <row r="325">
      <c r="J325" s="91"/>
    </row>
    <row r="326">
      <c r="J326" s="91"/>
    </row>
    <row r="327">
      <c r="J327" s="91"/>
    </row>
    <row r="328">
      <c r="J328" s="91"/>
    </row>
    <row r="329">
      <c r="J329" s="91"/>
    </row>
    <row r="330">
      <c r="J330" s="91"/>
    </row>
    <row r="331">
      <c r="J331" s="91"/>
    </row>
    <row r="332">
      <c r="J332" s="91"/>
    </row>
    <row r="333">
      <c r="J333" s="91"/>
    </row>
    <row r="334">
      <c r="J334" s="91"/>
    </row>
    <row r="335">
      <c r="J335" s="91"/>
    </row>
    <row r="336">
      <c r="J336" s="91"/>
    </row>
    <row r="337">
      <c r="J337" s="91"/>
    </row>
    <row r="338">
      <c r="J338" s="91"/>
    </row>
    <row r="339">
      <c r="J339" s="91"/>
    </row>
    <row r="340">
      <c r="J340" s="91"/>
    </row>
    <row r="341">
      <c r="J341" s="91"/>
    </row>
    <row r="342">
      <c r="J342" s="91"/>
    </row>
    <row r="343">
      <c r="J343" s="91"/>
    </row>
    <row r="344">
      <c r="J344" s="91"/>
    </row>
    <row r="345">
      <c r="J345" s="91"/>
    </row>
    <row r="346">
      <c r="J346" s="91"/>
    </row>
    <row r="347">
      <c r="J347" s="91"/>
    </row>
    <row r="348">
      <c r="J348" s="91"/>
    </row>
    <row r="349">
      <c r="J349" s="91"/>
    </row>
    <row r="350">
      <c r="J350" s="91"/>
    </row>
    <row r="351">
      <c r="J351" s="91"/>
    </row>
    <row r="352">
      <c r="J352" s="91"/>
    </row>
    <row r="353">
      <c r="J353" s="91"/>
    </row>
    <row r="354">
      <c r="J354" s="91"/>
    </row>
    <row r="355">
      <c r="J355" s="91"/>
    </row>
    <row r="356">
      <c r="J356" s="91"/>
    </row>
    <row r="357">
      <c r="J357" s="91"/>
    </row>
    <row r="358">
      <c r="J358" s="91"/>
    </row>
    <row r="359">
      <c r="J359" s="91"/>
    </row>
    <row r="360">
      <c r="J360" s="91"/>
    </row>
    <row r="361">
      <c r="J361" s="91"/>
    </row>
    <row r="362">
      <c r="J362" s="91"/>
    </row>
    <row r="363">
      <c r="J363" s="91"/>
    </row>
    <row r="364">
      <c r="J364" s="91"/>
    </row>
    <row r="365">
      <c r="J365" s="91"/>
    </row>
    <row r="366">
      <c r="J366" s="91"/>
    </row>
    <row r="367">
      <c r="J367" s="91"/>
    </row>
    <row r="368">
      <c r="J368" s="91"/>
    </row>
    <row r="369">
      <c r="J369" s="91"/>
    </row>
    <row r="370">
      <c r="J370" s="91"/>
    </row>
    <row r="371">
      <c r="J371" s="91"/>
    </row>
    <row r="372">
      <c r="J372" s="91"/>
    </row>
    <row r="373">
      <c r="J373" s="91"/>
    </row>
    <row r="374">
      <c r="J374" s="91"/>
    </row>
    <row r="375">
      <c r="J375" s="91"/>
    </row>
    <row r="376">
      <c r="J376" s="91"/>
    </row>
    <row r="377">
      <c r="J377" s="91"/>
    </row>
    <row r="378">
      <c r="J378" s="91"/>
    </row>
    <row r="379">
      <c r="J379" s="91"/>
    </row>
    <row r="380">
      <c r="J380" s="91"/>
    </row>
    <row r="381">
      <c r="J381" s="91"/>
    </row>
    <row r="382">
      <c r="J382" s="91"/>
    </row>
    <row r="383">
      <c r="J383" s="91"/>
    </row>
    <row r="384">
      <c r="J384" s="91"/>
    </row>
    <row r="385">
      <c r="J385" s="91"/>
    </row>
    <row r="386">
      <c r="J386" s="91"/>
    </row>
    <row r="387">
      <c r="J387" s="91"/>
    </row>
    <row r="388">
      <c r="J388" s="91"/>
    </row>
    <row r="389">
      <c r="J389" s="91"/>
    </row>
    <row r="390">
      <c r="J390" s="91"/>
    </row>
    <row r="391">
      <c r="J391" s="91"/>
    </row>
    <row r="392">
      <c r="J392" s="91"/>
    </row>
    <row r="393">
      <c r="J393" s="91"/>
    </row>
    <row r="394">
      <c r="J394" s="91"/>
    </row>
    <row r="395">
      <c r="J395" s="91"/>
    </row>
    <row r="396">
      <c r="J396" s="91"/>
    </row>
    <row r="397">
      <c r="J397" s="91"/>
    </row>
    <row r="398">
      <c r="J398" s="91"/>
    </row>
    <row r="399">
      <c r="J399" s="91"/>
    </row>
    <row r="400">
      <c r="J400" s="91"/>
    </row>
    <row r="401">
      <c r="J401" s="91"/>
    </row>
    <row r="402">
      <c r="J402" s="91"/>
    </row>
    <row r="403">
      <c r="J403" s="91"/>
    </row>
    <row r="404">
      <c r="J404" s="91"/>
    </row>
    <row r="405">
      <c r="J405" s="91"/>
    </row>
    <row r="406">
      <c r="J406" s="91"/>
    </row>
    <row r="407">
      <c r="J407" s="91"/>
    </row>
    <row r="408">
      <c r="J408" s="91"/>
    </row>
    <row r="409">
      <c r="J409" s="91"/>
    </row>
    <row r="410">
      <c r="J410" s="91"/>
    </row>
    <row r="411">
      <c r="J411" s="91"/>
    </row>
    <row r="412">
      <c r="J412" s="91"/>
    </row>
    <row r="413">
      <c r="J413" s="91"/>
    </row>
    <row r="414">
      <c r="J414" s="91"/>
    </row>
    <row r="415">
      <c r="J415" s="91"/>
    </row>
    <row r="416">
      <c r="J416" s="91"/>
    </row>
    <row r="417">
      <c r="J417" s="91"/>
    </row>
    <row r="418">
      <c r="J418" s="91"/>
    </row>
    <row r="419">
      <c r="J419" s="91"/>
    </row>
    <row r="420">
      <c r="J420" s="91"/>
    </row>
    <row r="421">
      <c r="J421" s="91"/>
    </row>
    <row r="422">
      <c r="J422" s="91"/>
    </row>
    <row r="423">
      <c r="J423" s="91"/>
    </row>
    <row r="424">
      <c r="J424" s="91"/>
    </row>
    <row r="425">
      <c r="J425" s="91"/>
    </row>
    <row r="426">
      <c r="J426" s="91"/>
    </row>
    <row r="427">
      <c r="J427" s="91"/>
    </row>
    <row r="428">
      <c r="J428" s="91"/>
    </row>
    <row r="429">
      <c r="J429" s="91"/>
    </row>
    <row r="430">
      <c r="J430" s="91"/>
    </row>
    <row r="431">
      <c r="J431" s="91"/>
    </row>
    <row r="432">
      <c r="J432" s="91"/>
    </row>
    <row r="433">
      <c r="J433" s="91"/>
    </row>
    <row r="434">
      <c r="J434" s="91"/>
    </row>
    <row r="435">
      <c r="J435" s="91"/>
    </row>
    <row r="436">
      <c r="J436" s="91"/>
    </row>
    <row r="437">
      <c r="J437" s="91"/>
    </row>
    <row r="438">
      <c r="J438" s="91"/>
    </row>
    <row r="439">
      <c r="J439" s="91"/>
    </row>
    <row r="440">
      <c r="J440" s="91"/>
    </row>
    <row r="441">
      <c r="J441" s="91"/>
    </row>
    <row r="442">
      <c r="J442" s="91"/>
    </row>
    <row r="443">
      <c r="J443" s="91"/>
    </row>
    <row r="444">
      <c r="J444" s="91"/>
    </row>
    <row r="445">
      <c r="J445" s="91"/>
    </row>
    <row r="446">
      <c r="J446" s="91"/>
    </row>
    <row r="447">
      <c r="J447" s="91"/>
    </row>
    <row r="448">
      <c r="J448" s="91"/>
    </row>
    <row r="449">
      <c r="J449" s="91"/>
    </row>
    <row r="450">
      <c r="J450" s="91"/>
    </row>
    <row r="451">
      <c r="J451" s="91"/>
    </row>
    <row r="452">
      <c r="J452" s="91"/>
    </row>
    <row r="453">
      <c r="J453" s="91"/>
    </row>
    <row r="454">
      <c r="J454" s="91"/>
    </row>
    <row r="455">
      <c r="J455" s="91"/>
    </row>
    <row r="456">
      <c r="J456" s="91"/>
    </row>
    <row r="457">
      <c r="J457" s="91"/>
    </row>
    <row r="458">
      <c r="J458" s="91"/>
    </row>
    <row r="459">
      <c r="J459" s="91"/>
    </row>
    <row r="460">
      <c r="J460" s="91"/>
    </row>
    <row r="461">
      <c r="J461" s="91"/>
    </row>
    <row r="462">
      <c r="J462" s="91"/>
    </row>
    <row r="463">
      <c r="J463" s="91"/>
    </row>
    <row r="464">
      <c r="J464" s="91"/>
    </row>
    <row r="465">
      <c r="J465" s="91"/>
    </row>
    <row r="466">
      <c r="J466" s="91"/>
    </row>
    <row r="467">
      <c r="J467" s="91"/>
    </row>
    <row r="468">
      <c r="J468" s="91"/>
    </row>
    <row r="469">
      <c r="J469" s="91"/>
    </row>
    <row r="470">
      <c r="J470" s="91"/>
    </row>
    <row r="471">
      <c r="J471" s="91"/>
    </row>
    <row r="472">
      <c r="J472" s="91"/>
    </row>
    <row r="473">
      <c r="J473" s="91"/>
    </row>
    <row r="474">
      <c r="J474" s="91"/>
    </row>
    <row r="475">
      <c r="J475" s="91"/>
    </row>
    <row r="476">
      <c r="J476" s="91"/>
    </row>
    <row r="477">
      <c r="J477" s="91"/>
    </row>
    <row r="478">
      <c r="J478" s="91"/>
    </row>
    <row r="479">
      <c r="J479" s="91"/>
    </row>
    <row r="480">
      <c r="J480" s="91"/>
    </row>
    <row r="481">
      <c r="J481" s="91"/>
    </row>
    <row r="482">
      <c r="J482" s="91"/>
    </row>
    <row r="483">
      <c r="J483" s="91"/>
    </row>
    <row r="484">
      <c r="J484" s="91"/>
    </row>
    <row r="485">
      <c r="J485" s="91"/>
    </row>
    <row r="486">
      <c r="J486" s="91"/>
    </row>
    <row r="487">
      <c r="J487" s="91"/>
    </row>
    <row r="488">
      <c r="J488" s="91"/>
    </row>
    <row r="489">
      <c r="J489" s="91"/>
    </row>
    <row r="490">
      <c r="J490" s="91"/>
    </row>
    <row r="491">
      <c r="J491" s="91"/>
    </row>
    <row r="492">
      <c r="J492" s="91"/>
    </row>
    <row r="493">
      <c r="J493" s="91"/>
    </row>
    <row r="494">
      <c r="J494" s="91"/>
    </row>
    <row r="495">
      <c r="J495" s="91"/>
    </row>
    <row r="496">
      <c r="J496" s="91"/>
    </row>
    <row r="497">
      <c r="J497" s="91"/>
    </row>
    <row r="498">
      <c r="J498" s="91"/>
    </row>
    <row r="499">
      <c r="J499" s="91"/>
    </row>
    <row r="500">
      <c r="J500" s="91"/>
    </row>
    <row r="501">
      <c r="J501" s="91"/>
    </row>
    <row r="502">
      <c r="J502" s="91"/>
    </row>
    <row r="503">
      <c r="J503" s="91"/>
    </row>
    <row r="504">
      <c r="J504" s="91"/>
    </row>
    <row r="505">
      <c r="J505" s="91"/>
    </row>
    <row r="506">
      <c r="J506" s="91"/>
    </row>
    <row r="507">
      <c r="J507" s="91"/>
    </row>
    <row r="508">
      <c r="J508" s="91"/>
    </row>
    <row r="509">
      <c r="J509" s="91"/>
    </row>
    <row r="510">
      <c r="J510" s="91"/>
    </row>
    <row r="511">
      <c r="J511" s="91"/>
    </row>
    <row r="512">
      <c r="J512" s="91"/>
    </row>
    <row r="513">
      <c r="J513" s="91"/>
    </row>
    <row r="514">
      <c r="J514" s="91"/>
    </row>
    <row r="515">
      <c r="J515" s="91"/>
    </row>
    <row r="516">
      <c r="J516" s="91"/>
    </row>
    <row r="517">
      <c r="J517" s="91"/>
    </row>
    <row r="518">
      <c r="J518" s="91"/>
    </row>
    <row r="519">
      <c r="J519" s="91"/>
    </row>
    <row r="520">
      <c r="J520" s="91"/>
    </row>
    <row r="521">
      <c r="J521" s="91"/>
    </row>
    <row r="522">
      <c r="J522" s="91"/>
    </row>
    <row r="523">
      <c r="J523" s="91"/>
    </row>
    <row r="524">
      <c r="J524" s="91"/>
    </row>
    <row r="525">
      <c r="J525" s="91"/>
    </row>
    <row r="526">
      <c r="J526" s="91"/>
    </row>
    <row r="527">
      <c r="J527" s="91"/>
    </row>
    <row r="528">
      <c r="J528" s="91"/>
    </row>
    <row r="529">
      <c r="J529" s="91"/>
    </row>
    <row r="530">
      <c r="J530" s="91"/>
    </row>
    <row r="531">
      <c r="J531" s="91"/>
    </row>
    <row r="532">
      <c r="J532" s="91"/>
    </row>
    <row r="533">
      <c r="J533" s="91"/>
    </row>
    <row r="534">
      <c r="J534" s="91"/>
    </row>
    <row r="535">
      <c r="J535" s="91"/>
    </row>
    <row r="536">
      <c r="J536" s="91"/>
    </row>
    <row r="537">
      <c r="J537" s="91"/>
    </row>
    <row r="538">
      <c r="J538" s="91"/>
    </row>
    <row r="539">
      <c r="J539" s="91"/>
    </row>
    <row r="540">
      <c r="J540" s="91"/>
    </row>
    <row r="541">
      <c r="J541" s="91"/>
    </row>
    <row r="542">
      <c r="J542" s="91"/>
    </row>
    <row r="543">
      <c r="J543" s="91"/>
    </row>
    <row r="544">
      <c r="J544" s="91"/>
    </row>
    <row r="545">
      <c r="J545" s="91"/>
    </row>
    <row r="546">
      <c r="J546" s="91"/>
    </row>
    <row r="547">
      <c r="J547" s="91"/>
    </row>
    <row r="548">
      <c r="J548" s="91"/>
    </row>
    <row r="549">
      <c r="J549" s="91"/>
    </row>
    <row r="550">
      <c r="J550" s="91"/>
    </row>
    <row r="551">
      <c r="J551" s="91"/>
    </row>
    <row r="552">
      <c r="J552" s="91"/>
    </row>
    <row r="553">
      <c r="J553" s="91"/>
    </row>
    <row r="554">
      <c r="J554" s="91"/>
    </row>
    <row r="555">
      <c r="J555" s="91"/>
    </row>
    <row r="556">
      <c r="J556" s="91"/>
    </row>
    <row r="557">
      <c r="J557" s="91"/>
    </row>
    <row r="558">
      <c r="J558" s="91"/>
    </row>
    <row r="559">
      <c r="J559" s="91"/>
    </row>
    <row r="560">
      <c r="J560" s="91"/>
    </row>
    <row r="561">
      <c r="J561" s="91"/>
    </row>
    <row r="562">
      <c r="J562" s="91"/>
    </row>
    <row r="563">
      <c r="J563" s="91"/>
    </row>
    <row r="564">
      <c r="J564" s="91"/>
    </row>
    <row r="565">
      <c r="J565" s="91"/>
    </row>
    <row r="566">
      <c r="J566" s="91"/>
    </row>
    <row r="567">
      <c r="J567" s="91"/>
    </row>
    <row r="568">
      <c r="J568" s="91"/>
    </row>
    <row r="569">
      <c r="J569" s="91"/>
    </row>
    <row r="570">
      <c r="J570" s="91"/>
    </row>
    <row r="571">
      <c r="J571" s="91"/>
    </row>
    <row r="572">
      <c r="J572" s="91"/>
    </row>
    <row r="573">
      <c r="J573" s="91"/>
    </row>
    <row r="574">
      <c r="J574" s="91"/>
    </row>
    <row r="575">
      <c r="J575" s="91"/>
    </row>
    <row r="576">
      <c r="J576" s="91"/>
    </row>
    <row r="577">
      <c r="J577" s="91"/>
    </row>
    <row r="578">
      <c r="J578" s="91"/>
    </row>
    <row r="579">
      <c r="J579" s="91"/>
    </row>
    <row r="580">
      <c r="J580" s="91"/>
    </row>
    <row r="581">
      <c r="J581" s="91"/>
    </row>
    <row r="582">
      <c r="J582" s="91"/>
    </row>
    <row r="583">
      <c r="J583" s="91"/>
    </row>
    <row r="584">
      <c r="J584" s="91"/>
    </row>
    <row r="585">
      <c r="J585" s="91"/>
    </row>
    <row r="586">
      <c r="J586" s="91"/>
    </row>
    <row r="587">
      <c r="J587" s="91"/>
    </row>
    <row r="588">
      <c r="J588" s="91"/>
    </row>
    <row r="589">
      <c r="J589" s="91"/>
    </row>
    <row r="590">
      <c r="J590" s="91"/>
    </row>
    <row r="591">
      <c r="J591" s="91"/>
    </row>
    <row r="592">
      <c r="J592" s="91"/>
    </row>
    <row r="593">
      <c r="J593" s="91"/>
    </row>
    <row r="594">
      <c r="J594" s="91"/>
    </row>
    <row r="595">
      <c r="J595" s="91"/>
    </row>
    <row r="596">
      <c r="J596" s="91"/>
    </row>
    <row r="597">
      <c r="J597" s="91"/>
    </row>
    <row r="598">
      <c r="J598" s="91"/>
    </row>
    <row r="599">
      <c r="J599" s="91"/>
    </row>
    <row r="600">
      <c r="J600" s="91"/>
    </row>
    <row r="601">
      <c r="J601" s="91"/>
    </row>
    <row r="602">
      <c r="J602" s="91"/>
    </row>
    <row r="603">
      <c r="J603" s="91"/>
    </row>
    <row r="604">
      <c r="J604" s="91"/>
    </row>
    <row r="605">
      <c r="J605" s="91"/>
    </row>
    <row r="606">
      <c r="J606" s="91"/>
    </row>
    <row r="607">
      <c r="J607" s="91"/>
    </row>
    <row r="608">
      <c r="J608" s="91"/>
    </row>
    <row r="609">
      <c r="J609" s="91"/>
    </row>
    <row r="610">
      <c r="J610" s="91"/>
    </row>
    <row r="611">
      <c r="J611" s="91"/>
    </row>
    <row r="612">
      <c r="J612" s="91"/>
    </row>
    <row r="613">
      <c r="J613" s="91"/>
    </row>
    <row r="614">
      <c r="J614" s="91"/>
    </row>
    <row r="615">
      <c r="J615" s="91"/>
    </row>
    <row r="616">
      <c r="J616" s="91"/>
    </row>
    <row r="617">
      <c r="J617" s="91"/>
    </row>
    <row r="618">
      <c r="J618" s="91"/>
    </row>
    <row r="619">
      <c r="J619" s="91"/>
    </row>
    <row r="620">
      <c r="J620" s="91"/>
    </row>
    <row r="621">
      <c r="J621" s="91"/>
    </row>
    <row r="622">
      <c r="J622" s="91"/>
    </row>
    <row r="623">
      <c r="J623" s="91"/>
    </row>
    <row r="624">
      <c r="J624" s="91"/>
    </row>
    <row r="625">
      <c r="J625" s="91"/>
    </row>
    <row r="626">
      <c r="J626" s="91"/>
    </row>
    <row r="627">
      <c r="J627" s="91"/>
    </row>
    <row r="628">
      <c r="J628" s="91"/>
    </row>
    <row r="629">
      <c r="J629" s="91"/>
    </row>
    <row r="630">
      <c r="J630" s="91"/>
    </row>
    <row r="631">
      <c r="J631" s="91"/>
    </row>
    <row r="632">
      <c r="J632" s="91"/>
    </row>
    <row r="633">
      <c r="J633" s="91"/>
    </row>
    <row r="634">
      <c r="J634" s="91"/>
    </row>
    <row r="635">
      <c r="J635" s="91"/>
    </row>
    <row r="636">
      <c r="J636" s="91"/>
    </row>
    <row r="637">
      <c r="J637" s="91"/>
    </row>
    <row r="638">
      <c r="J638" s="91"/>
    </row>
    <row r="639">
      <c r="J639" s="91"/>
    </row>
    <row r="640">
      <c r="J640" s="91"/>
    </row>
    <row r="641">
      <c r="J641" s="91"/>
    </row>
    <row r="642">
      <c r="J642" s="91"/>
    </row>
    <row r="643">
      <c r="J643" s="91"/>
    </row>
    <row r="644">
      <c r="J644" s="91"/>
    </row>
    <row r="645">
      <c r="J645" s="91"/>
    </row>
    <row r="646">
      <c r="J646" s="91"/>
    </row>
    <row r="647">
      <c r="J647" s="91"/>
    </row>
    <row r="648">
      <c r="J648" s="91"/>
    </row>
    <row r="649">
      <c r="J649" s="91"/>
    </row>
    <row r="650">
      <c r="J650" s="91"/>
    </row>
    <row r="651">
      <c r="J651" s="91"/>
    </row>
    <row r="652">
      <c r="J652" s="91"/>
    </row>
    <row r="653">
      <c r="J653" s="91"/>
    </row>
    <row r="654">
      <c r="J654" s="91"/>
    </row>
    <row r="655">
      <c r="J655" s="91"/>
    </row>
    <row r="656">
      <c r="J656" s="91"/>
    </row>
    <row r="657">
      <c r="J657" s="91"/>
    </row>
    <row r="658">
      <c r="J658" s="91"/>
    </row>
    <row r="659">
      <c r="J659" s="91"/>
    </row>
    <row r="660">
      <c r="J660" s="91"/>
    </row>
    <row r="661">
      <c r="J661" s="91"/>
    </row>
    <row r="662">
      <c r="J662" s="91"/>
    </row>
    <row r="663">
      <c r="J663" s="91"/>
    </row>
    <row r="664">
      <c r="J664" s="91"/>
    </row>
    <row r="665">
      <c r="J665" s="91"/>
    </row>
    <row r="666">
      <c r="J666" s="91"/>
    </row>
    <row r="667">
      <c r="J667" s="91"/>
    </row>
    <row r="668">
      <c r="J668" s="91"/>
    </row>
    <row r="669">
      <c r="J669" s="91"/>
    </row>
    <row r="670">
      <c r="J670" s="91"/>
    </row>
    <row r="671">
      <c r="J671" s="91"/>
    </row>
    <row r="672">
      <c r="J672" s="91"/>
    </row>
    <row r="673">
      <c r="J673" s="91"/>
    </row>
    <row r="674">
      <c r="J674" s="91"/>
    </row>
    <row r="675">
      <c r="J675" s="91"/>
    </row>
    <row r="676">
      <c r="J676" s="91"/>
    </row>
    <row r="677">
      <c r="J677" s="91"/>
    </row>
    <row r="678">
      <c r="J678" s="91"/>
    </row>
    <row r="679">
      <c r="J679" s="91"/>
    </row>
    <row r="680">
      <c r="J680" s="91"/>
    </row>
    <row r="681">
      <c r="J681" s="91"/>
    </row>
    <row r="682">
      <c r="J682" s="91"/>
    </row>
    <row r="683">
      <c r="J683" s="91"/>
    </row>
    <row r="684">
      <c r="J684" s="91"/>
    </row>
    <row r="685">
      <c r="J685" s="91"/>
    </row>
    <row r="686">
      <c r="J686" s="91"/>
    </row>
    <row r="687">
      <c r="J687" s="91"/>
    </row>
    <row r="688">
      <c r="J688" s="91"/>
    </row>
    <row r="689">
      <c r="J689" s="91"/>
    </row>
    <row r="690">
      <c r="J690" s="91"/>
    </row>
    <row r="691">
      <c r="J691" s="91"/>
    </row>
    <row r="692">
      <c r="J692" s="91"/>
    </row>
    <row r="693">
      <c r="J693" s="91"/>
    </row>
    <row r="694">
      <c r="J694" s="91"/>
    </row>
    <row r="695">
      <c r="J695" s="91"/>
    </row>
    <row r="696">
      <c r="J696" s="91"/>
    </row>
    <row r="697">
      <c r="J697" s="91"/>
    </row>
    <row r="698">
      <c r="J698" s="91"/>
    </row>
    <row r="699">
      <c r="J699" s="91"/>
    </row>
    <row r="700">
      <c r="J700" s="91"/>
    </row>
    <row r="701">
      <c r="J701" s="91"/>
    </row>
    <row r="702">
      <c r="J702" s="91"/>
    </row>
    <row r="703">
      <c r="J703" s="91"/>
    </row>
    <row r="704">
      <c r="J704" s="91"/>
    </row>
    <row r="705">
      <c r="J705" s="91"/>
    </row>
    <row r="706">
      <c r="J706" s="91"/>
    </row>
    <row r="707">
      <c r="J707" s="91"/>
    </row>
    <row r="708">
      <c r="J708" s="91"/>
    </row>
    <row r="709">
      <c r="J709" s="91"/>
    </row>
    <row r="710">
      <c r="J710" s="91"/>
    </row>
    <row r="711">
      <c r="J711" s="91"/>
    </row>
    <row r="712">
      <c r="J712" s="91"/>
    </row>
    <row r="713">
      <c r="J713" s="91"/>
    </row>
    <row r="714">
      <c r="J714" s="91"/>
    </row>
    <row r="715">
      <c r="J715" s="91"/>
    </row>
    <row r="716">
      <c r="J716" s="91"/>
    </row>
    <row r="717">
      <c r="J717" s="91"/>
    </row>
    <row r="718">
      <c r="J718" s="91"/>
    </row>
    <row r="719">
      <c r="J719" s="91"/>
    </row>
    <row r="720">
      <c r="J720" s="91"/>
    </row>
    <row r="721">
      <c r="J721" s="91"/>
    </row>
    <row r="722">
      <c r="J722" s="91"/>
    </row>
    <row r="723">
      <c r="J723" s="91"/>
    </row>
    <row r="724">
      <c r="J724" s="91"/>
    </row>
    <row r="725">
      <c r="J725" s="91"/>
    </row>
    <row r="726">
      <c r="J726" s="91"/>
    </row>
    <row r="727">
      <c r="J727" s="91"/>
    </row>
    <row r="728">
      <c r="J728" s="91"/>
    </row>
    <row r="729">
      <c r="J729" s="91"/>
    </row>
    <row r="730">
      <c r="J730" s="91"/>
    </row>
    <row r="731">
      <c r="J731" s="91"/>
    </row>
    <row r="732">
      <c r="J732" s="91"/>
    </row>
    <row r="733">
      <c r="J733" s="91"/>
    </row>
    <row r="734">
      <c r="J734" s="91"/>
    </row>
    <row r="735">
      <c r="J735" s="91"/>
    </row>
    <row r="736">
      <c r="J736" s="91"/>
    </row>
    <row r="737">
      <c r="J737" s="91"/>
    </row>
    <row r="738">
      <c r="J738" s="91"/>
    </row>
    <row r="739">
      <c r="J739" s="91"/>
    </row>
    <row r="740">
      <c r="J740" s="91"/>
    </row>
    <row r="741">
      <c r="J741" s="91"/>
    </row>
    <row r="742">
      <c r="J742" s="91"/>
    </row>
    <row r="743">
      <c r="J743" s="91"/>
    </row>
    <row r="744">
      <c r="J744" s="91"/>
    </row>
    <row r="745">
      <c r="J745" s="91"/>
    </row>
    <row r="746">
      <c r="J746" s="91"/>
    </row>
    <row r="747">
      <c r="J747" s="91"/>
    </row>
    <row r="748">
      <c r="J748" s="91"/>
    </row>
    <row r="749">
      <c r="J749" s="91"/>
    </row>
    <row r="750">
      <c r="J750" s="91"/>
    </row>
    <row r="751">
      <c r="J751" s="91"/>
    </row>
    <row r="752">
      <c r="J752" s="91"/>
    </row>
    <row r="753">
      <c r="J753" s="91"/>
    </row>
    <row r="754">
      <c r="J754" s="91"/>
    </row>
    <row r="755">
      <c r="J755" s="91"/>
    </row>
    <row r="756">
      <c r="J756" s="91"/>
    </row>
    <row r="757">
      <c r="J757" s="91"/>
    </row>
    <row r="758">
      <c r="J758" s="91"/>
    </row>
    <row r="759">
      <c r="J759" s="91"/>
    </row>
    <row r="760">
      <c r="J760" s="91"/>
    </row>
    <row r="761">
      <c r="J761" s="91"/>
    </row>
    <row r="762">
      <c r="J762" s="91"/>
    </row>
    <row r="763">
      <c r="J763" s="91"/>
    </row>
    <row r="764">
      <c r="J764" s="91"/>
    </row>
    <row r="765">
      <c r="J765" s="91"/>
    </row>
    <row r="766">
      <c r="J766" s="91"/>
    </row>
    <row r="767">
      <c r="J767" s="91"/>
    </row>
    <row r="768">
      <c r="J768" s="91"/>
    </row>
    <row r="769">
      <c r="J769" s="91"/>
    </row>
    <row r="770">
      <c r="J770" s="91"/>
    </row>
    <row r="771">
      <c r="J771" s="91"/>
    </row>
    <row r="772">
      <c r="J772" s="91"/>
    </row>
    <row r="773">
      <c r="J773" s="91"/>
    </row>
    <row r="774">
      <c r="J774" s="91"/>
    </row>
    <row r="775">
      <c r="J775" s="91"/>
    </row>
    <row r="776">
      <c r="J776" s="91"/>
    </row>
    <row r="777">
      <c r="J777" s="91"/>
    </row>
    <row r="778">
      <c r="J778" s="91"/>
    </row>
    <row r="779">
      <c r="J779" s="91"/>
    </row>
    <row r="780">
      <c r="J780" s="91"/>
    </row>
    <row r="781">
      <c r="J781" s="91"/>
    </row>
    <row r="782">
      <c r="J782" s="91"/>
    </row>
    <row r="783">
      <c r="J783" s="91"/>
    </row>
    <row r="784">
      <c r="J784" s="91"/>
    </row>
    <row r="785">
      <c r="J785" s="91"/>
    </row>
    <row r="786">
      <c r="J786" s="91"/>
    </row>
    <row r="787">
      <c r="J787" s="91"/>
    </row>
    <row r="788">
      <c r="J788" s="91"/>
    </row>
    <row r="789">
      <c r="J789" s="91"/>
    </row>
    <row r="790">
      <c r="J790" s="91"/>
    </row>
    <row r="791">
      <c r="J791" s="91"/>
    </row>
    <row r="792">
      <c r="J792" s="91"/>
    </row>
    <row r="793">
      <c r="J793" s="91"/>
    </row>
    <row r="794">
      <c r="J794" s="91"/>
    </row>
    <row r="795">
      <c r="J795" s="91"/>
    </row>
    <row r="796">
      <c r="J796" s="91"/>
    </row>
    <row r="797">
      <c r="J797" s="91"/>
    </row>
    <row r="798">
      <c r="J798" s="91"/>
    </row>
    <row r="799">
      <c r="J799" s="91"/>
    </row>
    <row r="800">
      <c r="J800" s="91"/>
    </row>
    <row r="801">
      <c r="J801" s="91"/>
    </row>
    <row r="802">
      <c r="J802" s="91"/>
    </row>
    <row r="803">
      <c r="J803" s="91"/>
    </row>
    <row r="804">
      <c r="J804" s="91"/>
    </row>
    <row r="805">
      <c r="J805" s="91"/>
    </row>
    <row r="806">
      <c r="J806" s="91"/>
    </row>
    <row r="807">
      <c r="J807" s="91"/>
    </row>
    <row r="808">
      <c r="J808" s="91"/>
    </row>
    <row r="809">
      <c r="J809" s="91"/>
    </row>
    <row r="810">
      <c r="J810" s="91"/>
    </row>
    <row r="811">
      <c r="J811" s="91"/>
    </row>
    <row r="812">
      <c r="J812" s="91"/>
    </row>
    <row r="813">
      <c r="J813" s="91"/>
    </row>
    <row r="814">
      <c r="J814" s="91"/>
    </row>
    <row r="815">
      <c r="J815" s="91"/>
    </row>
    <row r="816">
      <c r="J816" s="91"/>
    </row>
    <row r="817">
      <c r="J817" s="91"/>
    </row>
    <row r="818">
      <c r="J818" s="91"/>
    </row>
    <row r="819">
      <c r="J819" s="91"/>
    </row>
    <row r="820">
      <c r="J820" s="91"/>
    </row>
    <row r="821">
      <c r="J821" s="91"/>
    </row>
    <row r="822">
      <c r="J822" s="91"/>
    </row>
    <row r="823">
      <c r="J823" s="91"/>
    </row>
    <row r="824">
      <c r="J824" s="91"/>
    </row>
    <row r="825">
      <c r="J825" s="91"/>
    </row>
    <row r="826">
      <c r="J826" s="91"/>
    </row>
    <row r="827">
      <c r="J827" s="91"/>
    </row>
    <row r="828">
      <c r="J828" s="91"/>
    </row>
    <row r="829">
      <c r="J829" s="91"/>
    </row>
    <row r="830">
      <c r="J830" s="91"/>
    </row>
    <row r="831">
      <c r="J831" s="91"/>
    </row>
    <row r="832">
      <c r="J832" s="91"/>
    </row>
    <row r="833">
      <c r="J833" s="91"/>
    </row>
    <row r="834">
      <c r="J834" s="91"/>
    </row>
    <row r="835">
      <c r="J835" s="91"/>
    </row>
    <row r="836">
      <c r="J836" s="91"/>
    </row>
    <row r="837">
      <c r="J837" s="91"/>
    </row>
    <row r="838">
      <c r="J838" s="91"/>
    </row>
    <row r="839">
      <c r="J839" s="91"/>
    </row>
    <row r="840">
      <c r="J840" s="91"/>
    </row>
    <row r="841">
      <c r="J841" s="91"/>
    </row>
    <row r="842">
      <c r="J842" s="91"/>
    </row>
    <row r="843">
      <c r="J843" s="91"/>
    </row>
    <row r="844">
      <c r="J844" s="91"/>
    </row>
    <row r="845">
      <c r="J845" s="91"/>
    </row>
    <row r="846">
      <c r="J846" s="91"/>
    </row>
    <row r="847">
      <c r="J847" s="91"/>
    </row>
    <row r="848">
      <c r="J848" s="91"/>
    </row>
    <row r="849">
      <c r="J849" s="91"/>
    </row>
    <row r="850">
      <c r="J850" s="91"/>
    </row>
    <row r="851">
      <c r="J851" s="91"/>
    </row>
    <row r="852">
      <c r="J852" s="91"/>
    </row>
    <row r="853">
      <c r="J853" s="91"/>
    </row>
    <row r="854">
      <c r="J854" s="91"/>
    </row>
    <row r="855">
      <c r="J855" s="91"/>
    </row>
    <row r="856">
      <c r="J856" s="91"/>
    </row>
    <row r="857">
      <c r="J857" s="91"/>
    </row>
    <row r="858">
      <c r="J858" s="91"/>
    </row>
    <row r="859">
      <c r="J859" s="91"/>
    </row>
    <row r="860">
      <c r="J860" s="91"/>
    </row>
    <row r="861">
      <c r="J861" s="91"/>
    </row>
    <row r="862">
      <c r="J862" s="91"/>
    </row>
    <row r="863">
      <c r="J863" s="91"/>
    </row>
    <row r="864">
      <c r="J864" s="91"/>
    </row>
    <row r="865">
      <c r="J865" s="91"/>
    </row>
    <row r="866">
      <c r="J866" s="91"/>
    </row>
    <row r="867">
      <c r="J867" s="91"/>
    </row>
    <row r="868">
      <c r="J868" s="91"/>
    </row>
    <row r="869">
      <c r="J869" s="91"/>
    </row>
    <row r="870">
      <c r="J870" s="91"/>
    </row>
    <row r="871">
      <c r="J871" s="91"/>
    </row>
    <row r="872">
      <c r="J872" s="91"/>
    </row>
    <row r="873">
      <c r="J873" s="91"/>
    </row>
    <row r="874">
      <c r="J874" s="91"/>
    </row>
  </sheetData>
  <mergeCells count="16">
    <mergeCell ref="L4:O4"/>
    <mergeCell ref="L8:O8"/>
    <mergeCell ref="L12:O12"/>
    <mergeCell ref="L16:O16"/>
    <mergeCell ref="L20:O20"/>
    <mergeCell ref="L24:O24"/>
    <mergeCell ref="L28:O28"/>
    <mergeCell ref="H60:K60"/>
    <mergeCell ref="H64:K64"/>
    <mergeCell ref="L32:O32"/>
    <mergeCell ref="L36:O36"/>
    <mergeCell ref="L40:O40"/>
    <mergeCell ref="L44:O44"/>
    <mergeCell ref="L48:O48"/>
    <mergeCell ref="L52:O52"/>
    <mergeCell ref="H56:K56"/>
  </mergeCells>
  <conditionalFormatting sqref="AC3:AC7 AC11:AC12 AC20:AC22 AC25:AC36 AC38:AC55 Y56:Y874 AP87">
    <cfRule type="cellIs" dxfId="16" priority="1" operator="equal">
      <formula>"CT"</formula>
    </cfRule>
  </conditionalFormatting>
  <conditionalFormatting sqref="AC3:AC7 AC11:AC12 AC20:AC22 AC25:AC36 AC38:AC55 Y56:Y874 AP87">
    <cfRule type="cellIs" dxfId="17" priority="2" operator="equal">
      <formula>"T"</formula>
    </cfRule>
  </conditionalFormatting>
  <conditionalFormatting sqref="U1:W19 X1:AF20 AG3:AJ20 AK7:AK20 AL87:AW87">
    <cfRule type="cellIs" dxfId="18" priority="3" operator="equal">
      <formula>1</formula>
    </cfRule>
  </conditionalFormatting>
  <conditionalFormatting sqref="Y23:AK35">
    <cfRule type="cellIs" dxfId="18" priority="4" operator="between">
      <formula>1</formula>
      <formula>3</formula>
    </cfRule>
  </conditionalFormatting>
  <drawing r:id="rId1"/>
  <tableParts count="4">
    <tablePart r:id="rId6"/>
    <tablePart r:id="rId7"/>
    <tablePart r:id="rId8"/>
    <tablePart r:id="rId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4" width="5.5"/>
    <col customWidth="1" min="5" max="5" width="8.13"/>
    <col customWidth="1" min="6" max="6" width="8.0"/>
    <col customWidth="1" min="7" max="7" width="10.5"/>
    <col customWidth="1" min="8" max="8" width="13.75"/>
    <col customWidth="1" hidden="1" min="9" max="9" width="8.0"/>
    <col customWidth="1" min="12" max="14" width="5.5"/>
    <col customWidth="1" min="15" max="16" width="8.13"/>
    <col customWidth="1" min="17" max="17" width="11.0"/>
    <col customWidth="1" min="18" max="18" width="14.88"/>
    <col customWidth="1" hidden="1" min="19" max="19" width="8.0"/>
    <col customWidth="1" min="21" max="21" width="14.25"/>
    <col customWidth="1" min="22" max="22" width="14.63"/>
    <col customWidth="1" min="23" max="23" width="14.88"/>
    <col customWidth="1" min="24" max="24" width="14.63"/>
    <col customWidth="1" min="25" max="25" width="14.25"/>
    <col customWidth="1" min="27" max="27" width="12.88"/>
  </cols>
  <sheetData>
    <row r="3">
      <c r="N3" s="91"/>
      <c r="P3" s="120" t="s">
        <v>193</v>
      </c>
    </row>
    <row r="4">
      <c r="L4" s="175" t="s">
        <v>195</v>
      </c>
      <c r="P4" s="79">
        <f>IFERROR(__xludf.DUMMYFUNCTION("SUMPRODUCT(1/COUNTIF(TRANSPOSE(SPLIT(TEXTJOIN("" "",TRUE,N5:O7),"" "")),TRANSPOSE(SPLIT(TEXTJOIN("" "",TRUE,N5:O7),"" ""))))"),12.0)</f>
        <v>12</v>
      </c>
    </row>
    <row r="5">
      <c r="L5" s="176" t="s">
        <v>196</v>
      </c>
      <c r="M5" s="79"/>
      <c r="N5" s="175" t="s">
        <v>228</v>
      </c>
      <c r="O5" s="175" t="s">
        <v>221</v>
      </c>
      <c r="P5" s="79"/>
    </row>
    <row r="6">
      <c r="L6" s="176" t="s">
        <v>199</v>
      </c>
      <c r="M6" s="79"/>
      <c r="N6" s="176" t="s">
        <v>224</v>
      </c>
      <c r="O6" s="176" t="s">
        <v>222</v>
      </c>
      <c r="P6" s="79"/>
    </row>
    <row r="7">
      <c r="L7" s="176" t="s">
        <v>202</v>
      </c>
      <c r="M7" s="79"/>
      <c r="N7" s="175" t="s">
        <v>219</v>
      </c>
      <c r="O7" s="176" t="s">
        <v>225</v>
      </c>
      <c r="P7" s="79"/>
      <c r="X7" s="84" t="s">
        <v>205</v>
      </c>
      <c r="Y7" s="84" t="s">
        <v>206</v>
      </c>
      <c r="Z7" s="84" t="s">
        <v>207</v>
      </c>
      <c r="AA7" s="84" t="s">
        <v>208</v>
      </c>
      <c r="AB7" s="84" t="s">
        <v>209</v>
      </c>
      <c r="AC7" s="84" t="s">
        <v>210</v>
      </c>
      <c r="AD7" s="84" t="s">
        <v>124</v>
      </c>
      <c r="AE7" s="84" t="s">
        <v>211</v>
      </c>
      <c r="AF7" s="84" t="s">
        <v>126</v>
      </c>
      <c r="AG7" s="84" t="s">
        <v>212</v>
      </c>
      <c r="AH7" s="84" t="s">
        <v>125</v>
      </c>
      <c r="AI7" s="84" t="s">
        <v>213</v>
      </c>
      <c r="AJ7" s="84" t="s">
        <v>214</v>
      </c>
      <c r="AK7" s="84" t="s">
        <v>215</v>
      </c>
    </row>
    <row r="8">
      <c r="L8" s="107" t="s">
        <v>216</v>
      </c>
      <c r="P8" s="121">
        <f>IFERROR(__xludf.DUMMYFUNCTION("SUMPRODUCT(1/COUNTIF(TRANSPOSE(SPLIT(TEXTJOIN("" "",TRUE,N9:O11),"" "")),TRANSPOSE(SPLIT(TEXTJOIN("" "",TRUE,N9:O11),"" ""))))"),12.0)</f>
        <v>12</v>
      </c>
      <c r="W8" s="121"/>
      <c r="X8" s="169" t="s">
        <v>206</v>
      </c>
      <c r="Y8" s="170">
        <f t="shared" ref="Y8:AJ8" si="1">COUNTIFS($N$5:$O$47,"*"&amp;$X8&amp;"*",$N$5:$O$47,"*"&amp;Y$7&amp;"*")</f>
        <v>11</v>
      </c>
      <c r="Z8" s="171">
        <f t="shared" si="1"/>
        <v>1</v>
      </c>
      <c r="AA8" s="171">
        <f t="shared" si="1"/>
        <v>1</v>
      </c>
      <c r="AB8" s="171">
        <f t="shared" si="1"/>
        <v>1</v>
      </c>
      <c r="AC8" s="171">
        <f t="shared" si="1"/>
        <v>1</v>
      </c>
      <c r="AD8" s="171">
        <f t="shared" si="1"/>
        <v>1</v>
      </c>
      <c r="AE8" s="171">
        <f t="shared" si="1"/>
        <v>1</v>
      </c>
      <c r="AF8" s="171">
        <f t="shared" si="1"/>
        <v>1</v>
      </c>
      <c r="AG8" s="171">
        <f t="shared" si="1"/>
        <v>1</v>
      </c>
      <c r="AH8" s="171">
        <f t="shared" si="1"/>
        <v>1</v>
      </c>
      <c r="AI8" s="171">
        <f t="shared" si="1"/>
        <v>1</v>
      </c>
      <c r="AJ8" s="171">
        <f t="shared" si="1"/>
        <v>1</v>
      </c>
      <c r="AK8" s="172">
        <f t="shared" ref="AK8:AK19" si="3">SUM(Y8:AJ8)-11</f>
        <v>11</v>
      </c>
    </row>
    <row r="9">
      <c r="L9" s="120" t="s">
        <v>217</v>
      </c>
      <c r="N9" s="120" t="s">
        <v>241</v>
      </c>
      <c r="O9" s="120" t="s">
        <v>234</v>
      </c>
      <c r="W9" s="121"/>
      <c r="X9" s="169" t="s">
        <v>207</v>
      </c>
      <c r="Y9" s="171">
        <f t="shared" ref="Y9:AJ9" si="2">COUNTIFS($N$5:$O$47,"*"&amp;$X9&amp;"*",$N$5:$O$47,"*"&amp;Y$7&amp;"*")</f>
        <v>1</v>
      </c>
      <c r="Z9" s="170">
        <f t="shared" si="2"/>
        <v>11</v>
      </c>
      <c r="AA9" s="171">
        <f t="shared" si="2"/>
        <v>1</v>
      </c>
      <c r="AB9" s="171">
        <f t="shared" si="2"/>
        <v>1</v>
      </c>
      <c r="AC9" s="171">
        <f t="shared" si="2"/>
        <v>1</v>
      </c>
      <c r="AD9" s="171">
        <f t="shared" si="2"/>
        <v>1</v>
      </c>
      <c r="AE9" s="171">
        <f t="shared" si="2"/>
        <v>1</v>
      </c>
      <c r="AF9" s="171">
        <f t="shared" si="2"/>
        <v>1</v>
      </c>
      <c r="AG9" s="171">
        <f t="shared" si="2"/>
        <v>1</v>
      </c>
      <c r="AH9" s="171">
        <f t="shared" si="2"/>
        <v>1</v>
      </c>
      <c r="AI9" s="171">
        <f t="shared" si="2"/>
        <v>1</v>
      </c>
      <c r="AJ9" s="171">
        <f t="shared" si="2"/>
        <v>1</v>
      </c>
      <c r="AK9" s="172">
        <f t="shared" si="3"/>
        <v>11</v>
      </c>
    </row>
    <row r="10">
      <c r="L10" s="120" t="s">
        <v>220</v>
      </c>
      <c r="N10" s="120" t="s">
        <v>231</v>
      </c>
      <c r="O10" s="120" t="s">
        <v>229</v>
      </c>
      <c r="W10" s="121"/>
      <c r="X10" s="169" t="s">
        <v>208</v>
      </c>
      <c r="Y10" s="171">
        <f t="shared" ref="Y10:AJ10" si="4">COUNTIFS($N$5:$O$47,"*"&amp;$X10&amp;"*",$N$5:$O$47,"*"&amp;Y$7&amp;"*")</f>
        <v>1</v>
      </c>
      <c r="Z10" s="171">
        <f t="shared" si="4"/>
        <v>1</v>
      </c>
      <c r="AA10" s="170">
        <f t="shared" si="4"/>
        <v>11</v>
      </c>
      <c r="AB10" s="171">
        <f t="shared" si="4"/>
        <v>1</v>
      </c>
      <c r="AC10" s="171">
        <f t="shared" si="4"/>
        <v>1</v>
      </c>
      <c r="AD10" s="171">
        <f t="shared" si="4"/>
        <v>1</v>
      </c>
      <c r="AE10" s="171">
        <f t="shared" si="4"/>
        <v>1</v>
      </c>
      <c r="AF10" s="171">
        <f t="shared" si="4"/>
        <v>1</v>
      </c>
      <c r="AG10" s="171">
        <f t="shared" si="4"/>
        <v>1</v>
      </c>
      <c r="AH10" s="171">
        <f t="shared" si="4"/>
        <v>1</v>
      </c>
      <c r="AI10" s="171">
        <f t="shared" si="4"/>
        <v>1</v>
      </c>
      <c r="AJ10" s="171">
        <f t="shared" si="4"/>
        <v>1</v>
      </c>
      <c r="AK10" s="172">
        <f t="shared" si="3"/>
        <v>11</v>
      </c>
    </row>
    <row r="11">
      <c r="L11" s="120" t="s">
        <v>223</v>
      </c>
      <c r="N11" s="120" t="s">
        <v>232</v>
      </c>
      <c r="O11" s="120" t="s">
        <v>238</v>
      </c>
      <c r="W11" s="121"/>
      <c r="X11" s="169" t="s">
        <v>209</v>
      </c>
      <c r="Y11" s="171">
        <f t="shared" ref="Y11:AJ11" si="5">COUNTIFS($N$5:$O$47,"*"&amp;$X11&amp;"*",$N$5:$O$47,"*"&amp;Y$7&amp;"*")</f>
        <v>1</v>
      </c>
      <c r="Z11" s="171">
        <f t="shared" si="5"/>
        <v>1</v>
      </c>
      <c r="AA11" s="171">
        <f t="shared" si="5"/>
        <v>1</v>
      </c>
      <c r="AB11" s="170">
        <f t="shared" si="5"/>
        <v>11</v>
      </c>
      <c r="AC11" s="171">
        <f t="shared" si="5"/>
        <v>1</v>
      </c>
      <c r="AD11" s="171">
        <f t="shared" si="5"/>
        <v>1</v>
      </c>
      <c r="AE11" s="171">
        <f t="shared" si="5"/>
        <v>1</v>
      </c>
      <c r="AF11" s="171">
        <f t="shared" si="5"/>
        <v>1</v>
      </c>
      <c r="AG11" s="171">
        <f t="shared" si="5"/>
        <v>1</v>
      </c>
      <c r="AH11" s="171">
        <f t="shared" si="5"/>
        <v>1</v>
      </c>
      <c r="AI11" s="171">
        <f t="shared" si="5"/>
        <v>1</v>
      </c>
      <c r="AJ11" s="171">
        <f t="shared" si="5"/>
        <v>1</v>
      </c>
      <c r="AK11" s="172">
        <f t="shared" si="3"/>
        <v>11</v>
      </c>
    </row>
    <row r="12">
      <c r="L12" s="107" t="s">
        <v>226</v>
      </c>
      <c r="P12" s="121">
        <f>IFERROR(__xludf.DUMMYFUNCTION("SUMPRODUCT(1/COUNTIF(TRANSPOSE(SPLIT(TEXTJOIN("" "",TRUE,N13:O15),"" "")),TRANSPOSE(SPLIT(TEXTJOIN("" "",TRUE,N13:O15),"" ""))))"),12.0)</f>
        <v>12</v>
      </c>
      <c r="W12" s="121"/>
      <c r="X12" s="169" t="s">
        <v>210</v>
      </c>
      <c r="Y12" s="171">
        <f t="shared" ref="Y12:AJ12" si="6">COUNTIFS($N$5:$O$47,"*"&amp;$X12&amp;"*",$N$5:$O$47,"*"&amp;Y$7&amp;"*")</f>
        <v>1</v>
      </c>
      <c r="Z12" s="171">
        <f t="shared" si="6"/>
        <v>1</v>
      </c>
      <c r="AA12" s="171">
        <f t="shared" si="6"/>
        <v>1</v>
      </c>
      <c r="AB12" s="171">
        <f t="shared" si="6"/>
        <v>1</v>
      </c>
      <c r="AC12" s="170">
        <f t="shared" si="6"/>
        <v>11</v>
      </c>
      <c r="AD12" s="171">
        <f t="shared" si="6"/>
        <v>1</v>
      </c>
      <c r="AE12" s="171">
        <f t="shared" si="6"/>
        <v>1</v>
      </c>
      <c r="AF12" s="171">
        <f t="shared" si="6"/>
        <v>1</v>
      </c>
      <c r="AG12" s="171">
        <f t="shared" si="6"/>
        <v>1</v>
      </c>
      <c r="AH12" s="171">
        <f t="shared" si="6"/>
        <v>1</v>
      </c>
      <c r="AI12" s="171">
        <f t="shared" si="6"/>
        <v>1</v>
      </c>
      <c r="AJ12" s="171">
        <f t="shared" si="6"/>
        <v>1</v>
      </c>
      <c r="AK12" s="172">
        <f t="shared" si="3"/>
        <v>11</v>
      </c>
    </row>
    <row r="13">
      <c r="L13" s="120" t="s">
        <v>227</v>
      </c>
      <c r="N13" s="120" t="s">
        <v>248</v>
      </c>
      <c r="O13" s="120" t="s">
        <v>239</v>
      </c>
      <c r="W13" s="121"/>
      <c r="X13" s="169" t="s">
        <v>124</v>
      </c>
      <c r="Y13" s="171">
        <f t="shared" ref="Y13:AJ13" si="7">COUNTIFS($N$5:$O$47,"*"&amp;$X13&amp;"*",$N$5:$O$47,"*"&amp;Y$7&amp;"*")</f>
        <v>1</v>
      </c>
      <c r="Z13" s="171">
        <f t="shared" si="7"/>
        <v>1</v>
      </c>
      <c r="AA13" s="171">
        <f t="shared" si="7"/>
        <v>1</v>
      </c>
      <c r="AB13" s="171">
        <f t="shared" si="7"/>
        <v>1</v>
      </c>
      <c r="AC13" s="171">
        <f t="shared" si="7"/>
        <v>1</v>
      </c>
      <c r="AD13" s="170">
        <f t="shared" si="7"/>
        <v>11</v>
      </c>
      <c r="AE13" s="171">
        <f t="shared" si="7"/>
        <v>1</v>
      </c>
      <c r="AF13" s="171">
        <f t="shared" si="7"/>
        <v>1</v>
      </c>
      <c r="AG13" s="171">
        <f t="shared" si="7"/>
        <v>1</v>
      </c>
      <c r="AH13" s="171">
        <f t="shared" si="7"/>
        <v>1</v>
      </c>
      <c r="AI13" s="171">
        <f t="shared" si="7"/>
        <v>1</v>
      </c>
      <c r="AJ13" s="171">
        <f t="shared" si="7"/>
        <v>1</v>
      </c>
      <c r="AK13" s="172">
        <f t="shared" si="3"/>
        <v>11</v>
      </c>
    </row>
    <row r="14">
      <c r="L14" s="120" t="s">
        <v>230</v>
      </c>
      <c r="N14" s="120" t="s">
        <v>242</v>
      </c>
      <c r="O14" s="120" t="s">
        <v>244</v>
      </c>
      <c r="W14" s="121"/>
      <c r="X14" s="169" t="s">
        <v>211</v>
      </c>
      <c r="Y14" s="171">
        <f t="shared" ref="Y14:AJ14" si="8">COUNTIFS($N$5:$O$47,"*"&amp;$X14&amp;"*",$N$5:$O$47,"*"&amp;Y$7&amp;"*")</f>
        <v>1</v>
      </c>
      <c r="Z14" s="171">
        <f t="shared" si="8"/>
        <v>1</v>
      </c>
      <c r="AA14" s="171">
        <f t="shared" si="8"/>
        <v>1</v>
      </c>
      <c r="AB14" s="171">
        <f t="shared" si="8"/>
        <v>1</v>
      </c>
      <c r="AC14" s="171">
        <f t="shared" si="8"/>
        <v>1</v>
      </c>
      <c r="AD14" s="171">
        <f t="shared" si="8"/>
        <v>1</v>
      </c>
      <c r="AE14" s="170">
        <f t="shared" si="8"/>
        <v>11</v>
      </c>
      <c r="AF14" s="171">
        <f t="shared" si="8"/>
        <v>1</v>
      </c>
      <c r="AG14" s="171">
        <f t="shared" si="8"/>
        <v>1</v>
      </c>
      <c r="AH14" s="171">
        <f t="shared" si="8"/>
        <v>1</v>
      </c>
      <c r="AI14" s="171">
        <f t="shared" si="8"/>
        <v>1</v>
      </c>
      <c r="AJ14" s="171">
        <f t="shared" si="8"/>
        <v>1</v>
      </c>
      <c r="AK14" s="172">
        <f t="shared" si="3"/>
        <v>11</v>
      </c>
    </row>
    <row r="15">
      <c r="L15" s="120" t="s">
        <v>233</v>
      </c>
      <c r="N15" s="120" t="s">
        <v>251</v>
      </c>
      <c r="O15" s="120" t="s">
        <v>252</v>
      </c>
      <c r="W15" s="121"/>
      <c r="X15" s="169" t="s">
        <v>126</v>
      </c>
      <c r="Y15" s="171">
        <f t="shared" ref="Y15:AJ15" si="9">COUNTIFS($N$5:$O$47,"*"&amp;$X15&amp;"*",$N$5:$O$47,"*"&amp;Y$7&amp;"*")</f>
        <v>1</v>
      </c>
      <c r="Z15" s="171">
        <f t="shared" si="9"/>
        <v>1</v>
      </c>
      <c r="AA15" s="171">
        <f t="shared" si="9"/>
        <v>1</v>
      </c>
      <c r="AB15" s="171">
        <f t="shared" si="9"/>
        <v>1</v>
      </c>
      <c r="AC15" s="171">
        <f t="shared" si="9"/>
        <v>1</v>
      </c>
      <c r="AD15" s="171">
        <f t="shared" si="9"/>
        <v>1</v>
      </c>
      <c r="AE15" s="171">
        <f t="shared" si="9"/>
        <v>1</v>
      </c>
      <c r="AF15" s="170">
        <f t="shared" si="9"/>
        <v>11</v>
      </c>
      <c r="AG15" s="171">
        <f t="shared" si="9"/>
        <v>1</v>
      </c>
      <c r="AH15" s="171">
        <f t="shared" si="9"/>
        <v>1</v>
      </c>
      <c r="AI15" s="171">
        <f t="shared" si="9"/>
        <v>1</v>
      </c>
      <c r="AJ15" s="171">
        <f t="shared" si="9"/>
        <v>1</v>
      </c>
      <c r="AK15" s="172">
        <f t="shared" si="3"/>
        <v>11</v>
      </c>
    </row>
    <row r="16">
      <c r="L16" s="107" t="s">
        <v>236</v>
      </c>
      <c r="P16" s="121">
        <f>IFERROR(__xludf.DUMMYFUNCTION("SUMPRODUCT(1/COUNTIF(TRANSPOSE(SPLIT(TEXTJOIN("" "",TRUE,N17:O19),"" "")),TRANSPOSE(SPLIT(TEXTJOIN("" "",TRUE,N17:O19),"" ""))))"),12.0)</f>
        <v>12</v>
      </c>
      <c r="X16" s="169" t="s">
        <v>212</v>
      </c>
      <c r="Y16" s="171">
        <f t="shared" ref="Y16:AJ16" si="10">COUNTIFS($N$5:$O$47,"*"&amp;$X16&amp;"*",$N$5:$O$47,"*"&amp;Y$7&amp;"*")</f>
        <v>1</v>
      </c>
      <c r="Z16" s="171">
        <f t="shared" si="10"/>
        <v>1</v>
      </c>
      <c r="AA16" s="171">
        <f t="shared" si="10"/>
        <v>1</v>
      </c>
      <c r="AB16" s="171">
        <f t="shared" si="10"/>
        <v>1</v>
      </c>
      <c r="AC16" s="171">
        <f t="shared" si="10"/>
        <v>1</v>
      </c>
      <c r="AD16" s="171">
        <f t="shared" si="10"/>
        <v>1</v>
      </c>
      <c r="AE16" s="171">
        <f t="shared" si="10"/>
        <v>1</v>
      </c>
      <c r="AF16" s="171">
        <f t="shared" si="10"/>
        <v>1</v>
      </c>
      <c r="AG16" s="170">
        <f t="shared" si="10"/>
        <v>11</v>
      </c>
      <c r="AH16" s="171">
        <f t="shared" si="10"/>
        <v>1</v>
      </c>
      <c r="AI16" s="171">
        <f t="shared" si="10"/>
        <v>1</v>
      </c>
      <c r="AJ16" s="171">
        <f t="shared" si="10"/>
        <v>1</v>
      </c>
      <c r="AK16" s="172">
        <f t="shared" si="3"/>
        <v>11</v>
      </c>
    </row>
    <row r="17">
      <c r="L17" s="120" t="s">
        <v>237</v>
      </c>
      <c r="N17" s="120" t="s">
        <v>266</v>
      </c>
      <c r="O17" s="120" t="s">
        <v>256</v>
      </c>
      <c r="W17" s="121"/>
      <c r="X17" s="169" t="s">
        <v>125</v>
      </c>
      <c r="Y17" s="171">
        <f t="shared" ref="Y17:AJ17" si="11">COUNTIFS($N$5:$O$47,"*"&amp;$X17&amp;"*",$N$5:$O$47,"*"&amp;Y$7&amp;"*")</f>
        <v>1</v>
      </c>
      <c r="Z17" s="171">
        <f t="shared" si="11"/>
        <v>1</v>
      </c>
      <c r="AA17" s="171">
        <f t="shared" si="11"/>
        <v>1</v>
      </c>
      <c r="AB17" s="171">
        <f t="shared" si="11"/>
        <v>1</v>
      </c>
      <c r="AC17" s="171">
        <f t="shared" si="11"/>
        <v>1</v>
      </c>
      <c r="AD17" s="171">
        <f t="shared" si="11"/>
        <v>1</v>
      </c>
      <c r="AE17" s="171">
        <f t="shared" si="11"/>
        <v>1</v>
      </c>
      <c r="AF17" s="171">
        <f t="shared" si="11"/>
        <v>1</v>
      </c>
      <c r="AG17" s="171">
        <f t="shared" si="11"/>
        <v>1</v>
      </c>
      <c r="AH17" s="170">
        <f t="shared" si="11"/>
        <v>11</v>
      </c>
      <c r="AI17" s="171">
        <f t="shared" si="11"/>
        <v>1</v>
      </c>
      <c r="AJ17" s="171">
        <f t="shared" si="11"/>
        <v>1</v>
      </c>
      <c r="AK17" s="172">
        <f t="shared" si="3"/>
        <v>11</v>
      </c>
    </row>
    <row r="18">
      <c r="L18" s="120" t="s">
        <v>240</v>
      </c>
      <c r="N18" s="120" t="s">
        <v>263</v>
      </c>
      <c r="O18" s="120" t="s">
        <v>257</v>
      </c>
      <c r="W18" s="121"/>
      <c r="X18" s="169" t="s">
        <v>213</v>
      </c>
      <c r="Y18" s="171">
        <f t="shared" ref="Y18:AJ18" si="12">COUNTIFS($N$5:$O$47,"*"&amp;$X18&amp;"*",$N$5:$O$47,"*"&amp;Y$7&amp;"*")</f>
        <v>1</v>
      </c>
      <c r="Z18" s="171">
        <f t="shared" si="12"/>
        <v>1</v>
      </c>
      <c r="AA18" s="171">
        <f t="shared" si="12"/>
        <v>1</v>
      </c>
      <c r="AB18" s="171">
        <f t="shared" si="12"/>
        <v>1</v>
      </c>
      <c r="AC18" s="171">
        <f t="shared" si="12"/>
        <v>1</v>
      </c>
      <c r="AD18" s="171">
        <f t="shared" si="12"/>
        <v>1</v>
      </c>
      <c r="AE18" s="171">
        <f t="shared" si="12"/>
        <v>1</v>
      </c>
      <c r="AF18" s="171">
        <f t="shared" si="12"/>
        <v>1</v>
      </c>
      <c r="AG18" s="171">
        <f t="shared" si="12"/>
        <v>1</v>
      </c>
      <c r="AH18" s="171">
        <f t="shared" si="12"/>
        <v>1</v>
      </c>
      <c r="AI18" s="170">
        <f t="shared" si="12"/>
        <v>11</v>
      </c>
      <c r="AJ18" s="171">
        <f t="shared" si="12"/>
        <v>1</v>
      </c>
      <c r="AK18" s="172">
        <f t="shared" si="3"/>
        <v>11</v>
      </c>
    </row>
    <row r="19">
      <c r="L19" s="120" t="s">
        <v>243</v>
      </c>
      <c r="N19" s="120" t="s">
        <v>267</v>
      </c>
      <c r="O19" s="120" t="s">
        <v>260</v>
      </c>
      <c r="W19" s="121"/>
      <c r="X19" s="169" t="s">
        <v>214</v>
      </c>
      <c r="Y19" s="171">
        <f t="shared" ref="Y19:AJ19" si="13">COUNTIFS($N$5:$O$47,"*"&amp;$X19&amp;"*",$N$5:$O$47,"*"&amp;Y$7&amp;"*")</f>
        <v>1</v>
      </c>
      <c r="Z19" s="171">
        <f t="shared" si="13"/>
        <v>1</v>
      </c>
      <c r="AA19" s="171">
        <f t="shared" si="13"/>
        <v>1</v>
      </c>
      <c r="AB19" s="171">
        <f t="shared" si="13"/>
        <v>1</v>
      </c>
      <c r="AC19" s="171">
        <f t="shared" si="13"/>
        <v>1</v>
      </c>
      <c r="AD19" s="171">
        <f t="shared" si="13"/>
        <v>1</v>
      </c>
      <c r="AE19" s="171">
        <f t="shared" si="13"/>
        <v>1</v>
      </c>
      <c r="AF19" s="171">
        <f t="shared" si="13"/>
        <v>1</v>
      </c>
      <c r="AG19" s="171">
        <f t="shared" si="13"/>
        <v>1</v>
      </c>
      <c r="AH19" s="171">
        <f t="shared" si="13"/>
        <v>1</v>
      </c>
      <c r="AI19" s="171">
        <f t="shared" si="13"/>
        <v>1</v>
      </c>
      <c r="AJ19" s="170">
        <f t="shared" si="13"/>
        <v>11</v>
      </c>
      <c r="AK19" s="172">
        <f t="shared" si="3"/>
        <v>11</v>
      </c>
    </row>
    <row r="20">
      <c r="L20" s="107" t="s">
        <v>246</v>
      </c>
      <c r="P20" s="121">
        <f>IFERROR(__xludf.DUMMYFUNCTION("SUMPRODUCT(1/COUNTIF(TRANSPOSE(SPLIT(TEXTJOIN("" "",TRUE,N21:O23),"" "")),TRANSPOSE(SPLIT(TEXTJOIN("" "",TRUE,N21:O23),"" ""))))"),12.0)</f>
        <v>12</v>
      </c>
    </row>
    <row r="21">
      <c r="L21" s="120" t="s">
        <v>247</v>
      </c>
      <c r="N21" s="120" t="s">
        <v>270</v>
      </c>
      <c r="O21" s="120" t="s">
        <v>271</v>
      </c>
      <c r="X21" s="84" t="s">
        <v>254</v>
      </c>
      <c r="Y21" s="84" t="s">
        <v>206</v>
      </c>
      <c r="Z21" s="84" t="s">
        <v>207</v>
      </c>
      <c r="AA21" s="84" t="s">
        <v>208</v>
      </c>
      <c r="AB21" s="84" t="s">
        <v>209</v>
      </c>
      <c r="AC21" s="84" t="s">
        <v>210</v>
      </c>
      <c r="AD21" s="84" t="s">
        <v>124</v>
      </c>
      <c r="AE21" s="84" t="s">
        <v>211</v>
      </c>
      <c r="AF21" s="84" t="s">
        <v>126</v>
      </c>
      <c r="AG21" s="84" t="s">
        <v>212</v>
      </c>
      <c r="AH21" s="84" t="s">
        <v>125</v>
      </c>
      <c r="AI21" s="84" t="s">
        <v>213</v>
      </c>
      <c r="AJ21" s="84" t="s">
        <v>214</v>
      </c>
    </row>
    <row r="22">
      <c r="L22" s="120" t="s">
        <v>250</v>
      </c>
      <c r="N22" s="120" t="s">
        <v>264</v>
      </c>
      <c r="O22" s="120" t="s">
        <v>273</v>
      </c>
      <c r="W22" s="121"/>
      <c r="X22" s="169" t="s">
        <v>206</v>
      </c>
      <c r="Y22" s="170">
        <f t="shared" ref="Y22:AJ22" si="14">COUNTIFS($N$4:$N$49, "*" &amp;$X22 &amp; "*", $O$4:$O$49, "*" &amp; Y$21 &amp; "*")+COUNTIFS($O$4:$O$49, "*" &amp; $X22 &amp; "*", $N$4:$N$49, "*" &amp; Y$21 &amp; "*")</f>
        <v>0</v>
      </c>
      <c r="Z22" s="171">
        <f t="shared" si="14"/>
        <v>3</v>
      </c>
      <c r="AA22" s="171">
        <f t="shared" si="14"/>
        <v>2</v>
      </c>
      <c r="AB22" s="171">
        <f t="shared" si="14"/>
        <v>2</v>
      </c>
      <c r="AC22" s="171">
        <f t="shared" si="14"/>
        <v>2</v>
      </c>
      <c r="AD22" s="171">
        <f t="shared" si="14"/>
        <v>2</v>
      </c>
      <c r="AE22" s="171">
        <f t="shared" si="14"/>
        <v>2</v>
      </c>
      <c r="AF22" s="171">
        <f t="shared" si="14"/>
        <v>3</v>
      </c>
      <c r="AG22" s="171">
        <f t="shared" si="14"/>
        <v>1</v>
      </c>
      <c r="AH22" s="171">
        <f t="shared" si="14"/>
        <v>2</v>
      </c>
      <c r="AI22" s="171">
        <f t="shared" si="14"/>
        <v>1</v>
      </c>
      <c r="AJ22" s="171">
        <f t="shared" si="14"/>
        <v>2</v>
      </c>
    </row>
    <row r="23">
      <c r="L23" s="120" t="s">
        <v>255</v>
      </c>
      <c r="N23" s="120" t="s">
        <v>274</v>
      </c>
      <c r="O23" s="120" t="s">
        <v>277</v>
      </c>
      <c r="X23" s="169" t="s">
        <v>207</v>
      </c>
      <c r="Y23" s="171">
        <f t="shared" ref="Y23:AJ23" si="15">COUNTIFS($N$4:$N$49, "*" &amp;$X23 &amp; "*", $O$4:$O$49, "*" &amp; Y$21 &amp; "*")+COUNTIFS($O$4:$O$49, "*" &amp; $X23 &amp; "*", $N$4:$N$49, "*" &amp; Y$21 &amp; "*")</f>
        <v>3</v>
      </c>
      <c r="Z23" s="170">
        <f t="shared" si="15"/>
        <v>0</v>
      </c>
      <c r="AA23" s="171">
        <f t="shared" si="15"/>
        <v>3</v>
      </c>
      <c r="AB23" s="171">
        <f t="shared" si="15"/>
        <v>2</v>
      </c>
      <c r="AC23" s="171">
        <f t="shared" si="15"/>
        <v>2</v>
      </c>
      <c r="AD23" s="171">
        <f t="shared" si="15"/>
        <v>1</v>
      </c>
      <c r="AE23" s="171">
        <f t="shared" si="15"/>
        <v>1</v>
      </c>
      <c r="AF23" s="171">
        <f t="shared" si="15"/>
        <v>1</v>
      </c>
      <c r="AG23" s="171">
        <f t="shared" si="15"/>
        <v>2</v>
      </c>
      <c r="AH23" s="171">
        <f t="shared" si="15"/>
        <v>2</v>
      </c>
      <c r="AI23" s="171">
        <f t="shared" si="15"/>
        <v>3</v>
      </c>
      <c r="AJ23" s="171">
        <f t="shared" si="15"/>
        <v>2</v>
      </c>
    </row>
    <row r="24">
      <c r="L24" s="107" t="s">
        <v>258</v>
      </c>
      <c r="P24" s="121">
        <f>IFERROR(__xludf.DUMMYFUNCTION("SUMPRODUCT(1/COUNTIF(TRANSPOSE(SPLIT(TEXTJOIN("" "",TRUE,N25:O27),"" "")),TRANSPOSE(SPLIT(TEXTJOIN("" "",TRUE,N25:O27),"" ""))))"),12.0)</f>
        <v>12</v>
      </c>
      <c r="W24" s="121"/>
      <c r="X24" s="169" t="s">
        <v>208</v>
      </c>
      <c r="Y24" s="171">
        <f t="shared" ref="Y24:AJ24" si="16">COUNTIFS($N$4:$N$49, "*" &amp;$X24 &amp; "*", $O$4:$O$49, "*" &amp; Y$21 &amp; "*")+COUNTIFS($O$4:$O$49, "*" &amp; $X24 &amp; "*", $N$4:$N$49, "*" &amp; Y$21 &amp; "*")</f>
        <v>2</v>
      </c>
      <c r="Z24" s="171">
        <f t="shared" si="16"/>
        <v>3</v>
      </c>
      <c r="AA24" s="170">
        <f t="shared" si="16"/>
        <v>0</v>
      </c>
      <c r="AB24" s="171">
        <f t="shared" si="16"/>
        <v>3</v>
      </c>
      <c r="AC24" s="171">
        <f t="shared" si="16"/>
        <v>2</v>
      </c>
      <c r="AD24" s="171">
        <f t="shared" si="16"/>
        <v>3</v>
      </c>
      <c r="AE24" s="171">
        <f t="shared" si="16"/>
        <v>3</v>
      </c>
      <c r="AF24" s="171">
        <f t="shared" si="16"/>
        <v>1</v>
      </c>
      <c r="AG24" s="171">
        <f t="shared" si="16"/>
        <v>1</v>
      </c>
      <c r="AH24" s="171">
        <f t="shared" si="16"/>
        <v>2</v>
      </c>
      <c r="AI24" s="171">
        <f t="shared" si="16"/>
        <v>1</v>
      </c>
      <c r="AJ24" s="171">
        <f t="shared" si="16"/>
        <v>1</v>
      </c>
    </row>
    <row r="25">
      <c r="L25" s="120" t="s">
        <v>259</v>
      </c>
      <c r="N25" s="120" t="s">
        <v>283</v>
      </c>
      <c r="O25" s="120" t="s">
        <v>280</v>
      </c>
      <c r="X25" s="169" t="s">
        <v>209</v>
      </c>
      <c r="Y25" s="171">
        <f t="shared" ref="Y25:AJ25" si="17">COUNTIFS($N$4:$N$49, "*" &amp;$X25 &amp; "*", $O$4:$O$49, "*" &amp; Y$21 &amp; "*")+COUNTIFS($O$4:$O$49, "*" &amp; $X25 &amp; "*", $N$4:$N$49, "*" &amp; Y$21 &amp; "*")</f>
        <v>2</v>
      </c>
      <c r="Z25" s="171">
        <f t="shared" si="17"/>
        <v>2</v>
      </c>
      <c r="AA25" s="171">
        <f t="shared" si="17"/>
        <v>3</v>
      </c>
      <c r="AB25" s="170">
        <f t="shared" si="17"/>
        <v>0</v>
      </c>
      <c r="AC25" s="171">
        <f t="shared" si="17"/>
        <v>1</v>
      </c>
      <c r="AD25" s="171">
        <f t="shared" si="17"/>
        <v>3</v>
      </c>
      <c r="AE25" s="171">
        <f t="shared" si="17"/>
        <v>1</v>
      </c>
      <c r="AF25" s="171">
        <f t="shared" si="17"/>
        <v>1</v>
      </c>
      <c r="AG25" s="171">
        <f t="shared" si="17"/>
        <v>3</v>
      </c>
      <c r="AH25" s="171">
        <f t="shared" si="17"/>
        <v>3</v>
      </c>
      <c r="AI25" s="171">
        <f t="shared" si="17"/>
        <v>2</v>
      </c>
      <c r="AJ25" s="171">
        <f t="shared" si="17"/>
        <v>1</v>
      </c>
    </row>
    <row r="26">
      <c r="L26" s="120" t="s">
        <v>262</v>
      </c>
      <c r="N26" s="120" t="s">
        <v>286</v>
      </c>
      <c r="O26" s="120" t="s">
        <v>281</v>
      </c>
      <c r="X26" s="169" t="s">
        <v>210</v>
      </c>
      <c r="Y26" s="171">
        <f t="shared" ref="Y26:AJ26" si="18">COUNTIFS($N$4:$N$49, "*" &amp;$X26 &amp; "*", $O$4:$O$49, "*" &amp; Y$21 &amp; "*")+COUNTIFS($O$4:$O$49, "*" &amp; $X26 &amp; "*", $N$4:$N$49, "*" &amp; Y$21 &amp; "*")</f>
        <v>2</v>
      </c>
      <c r="Z26" s="171">
        <f t="shared" si="18"/>
        <v>2</v>
      </c>
      <c r="AA26" s="171">
        <f t="shared" si="18"/>
        <v>2</v>
      </c>
      <c r="AB26" s="171">
        <f t="shared" si="18"/>
        <v>1</v>
      </c>
      <c r="AC26" s="170">
        <f t="shared" si="18"/>
        <v>0</v>
      </c>
      <c r="AD26" s="171">
        <f t="shared" si="18"/>
        <v>2</v>
      </c>
      <c r="AE26" s="171">
        <f t="shared" si="18"/>
        <v>3</v>
      </c>
      <c r="AF26" s="171">
        <f t="shared" si="18"/>
        <v>1</v>
      </c>
      <c r="AG26" s="171">
        <f t="shared" si="18"/>
        <v>2</v>
      </c>
      <c r="AH26" s="171">
        <f t="shared" si="18"/>
        <v>2</v>
      </c>
      <c r="AI26" s="171">
        <f t="shared" si="18"/>
        <v>3</v>
      </c>
      <c r="AJ26" s="171">
        <f t="shared" si="18"/>
        <v>2</v>
      </c>
    </row>
    <row r="27">
      <c r="L27" s="120" t="s">
        <v>265</v>
      </c>
      <c r="N27" s="120" t="s">
        <v>284</v>
      </c>
      <c r="O27" s="120" t="s">
        <v>287</v>
      </c>
      <c r="X27" s="169" t="s">
        <v>124</v>
      </c>
      <c r="Y27" s="171">
        <f t="shared" ref="Y27:AJ27" si="19">COUNTIFS($N$4:$N$49, "*" &amp;$X27 &amp; "*", $O$4:$O$49, "*" &amp; Y$21 &amp; "*")+COUNTIFS($O$4:$O$49, "*" &amp; $X27 &amp; "*", $N$4:$N$49, "*" &amp; Y$21 &amp; "*")</f>
        <v>2</v>
      </c>
      <c r="Z27" s="171">
        <f t="shared" si="19"/>
        <v>1</v>
      </c>
      <c r="AA27" s="171">
        <f t="shared" si="19"/>
        <v>3</v>
      </c>
      <c r="AB27" s="171">
        <f t="shared" si="19"/>
        <v>3</v>
      </c>
      <c r="AC27" s="171">
        <f t="shared" si="19"/>
        <v>2</v>
      </c>
      <c r="AD27" s="170">
        <f t="shared" si="19"/>
        <v>0</v>
      </c>
      <c r="AE27" s="171">
        <f t="shared" si="19"/>
        <v>1</v>
      </c>
      <c r="AF27" s="171">
        <f t="shared" si="19"/>
        <v>1</v>
      </c>
      <c r="AG27" s="171">
        <f t="shared" si="19"/>
        <v>2</v>
      </c>
      <c r="AH27" s="171">
        <f t="shared" si="19"/>
        <v>2</v>
      </c>
      <c r="AI27" s="171">
        <f t="shared" si="19"/>
        <v>2</v>
      </c>
      <c r="AJ27" s="171">
        <f t="shared" si="19"/>
        <v>3</v>
      </c>
    </row>
    <row r="28">
      <c r="L28" s="107" t="s">
        <v>268</v>
      </c>
      <c r="P28" s="121">
        <f>IFERROR(__xludf.DUMMYFUNCTION("SUMPRODUCT(1/COUNTIF(TRANSPOSE(SPLIT(TEXTJOIN("" "",TRUE,N29:O31),"" "")),TRANSPOSE(SPLIT(TEXTJOIN("" "",TRUE,N29:O31),"" ""))))"),12.0)</f>
        <v>12</v>
      </c>
      <c r="X28" s="169" t="s">
        <v>211</v>
      </c>
      <c r="Y28" s="171">
        <f t="shared" ref="Y28:AJ28" si="20">COUNTIFS($N$4:$N$49, "*" &amp;$X28 &amp; "*", $O$4:$O$49, "*" &amp; Y$21 &amp; "*")+COUNTIFS($O$4:$O$49, "*" &amp; $X28 &amp; "*", $N$4:$N$49, "*" &amp; Y$21 &amp; "*")</f>
        <v>2</v>
      </c>
      <c r="Z28" s="171">
        <f t="shared" si="20"/>
        <v>1</v>
      </c>
      <c r="AA28" s="171">
        <f t="shared" si="20"/>
        <v>3</v>
      </c>
      <c r="AB28" s="171">
        <f t="shared" si="20"/>
        <v>1</v>
      </c>
      <c r="AC28" s="171">
        <f t="shared" si="20"/>
        <v>3</v>
      </c>
      <c r="AD28" s="171">
        <f t="shared" si="20"/>
        <v>1</v>
      </c>
      <c r="AE28" s="170">
        <f t="shared" si="20"/>
        <v>0</v>
      </c>
      <c r="AF28" s="171">
        <f t="shared" si="20"/>
        <v>2</v>
      </c>
      <c r="AG28" s="171">
        <f t="shared" si="20"/>
        <v>3</v>
      </c>
      <c r="AH28" s="171">
        <f t="shared" si="20"/>
        <v>2</v>
      </c>
      <c r="AI28" s="171">
        <f t="shared" si="20"/>
        <v>3</v>
      </c>
      <c r="AJ28" s="171">
        <f t="shared" si="20"/>
        <v>1</v>
      </c>
    </row>
    <row r="29">
      <c r="L29" s="120" t="s">
        <v>269</v>
      </c>
      <c r="N29" s="120" t="s">
        <v>290</v>
      </c>
      <c r="O29" s="120" t="s">
        <v>293</v>
      </c>
      <c r="X29" s="169" t="s">
        <v>126</v>
      </c>
      <c r="Y29" s="171">
        <f t="shared" ref="Y29:AJ29" si="21">COUNTIFS($N$4:$N$49, "*" &amp;$X29 &amp; "*", $O$4:$O$49, "*" &amp; Y$21 &amp; "*")+COUNTIFS($O$4:$O$49, "*" &amp; $X29 &amp; "*", $N$4:$N$49, "*" &amp; Y$21 &amp; "*")</f>
        <v>3</v>
      </c>
      <c r="Z29" s="171">
        <f t="shared" si="21"/>
        <v>1</v>
      </c>
      <c r="AA29" s="171">
        <f t="shared" si="21"/>
        <v>1</v>
      </c>
      <c r="AB29" s="171">
        <f t="shared" si="21"/>
        <v>1</v>
      </c>
      <c r="AC29" s="171">
        <f t="shared" si="21"/>
        <v>1</v>
      </c>
      <c r="AD29" s="171">
        <f t="shared" si="21"/>
        <v>1</v>
      </c>
      <c r="AE29" s="171">
        <f t="shared" si="21"/>
        <v>2</v>
      </c>
      <c r="AF29" s="170">
        <f t="shared" si="21"/>
        <v>0</v>
      </c>
      <c r="AG29" s="171">
        <f t="shared" si="21"/>
        <v>3</v>
      </c>
      <c r="AH29" s="171">
        <f t="shared" si="21"/>
        <v>3</v>
      </c>
      <c r="AI29" s="171">
        <f t="shared" si="21"/>
        <v>3</v>
      </c>
      <c r="AJ29" s="171">
        <f t="shared" si="21"/>
        <v>3</v>
      </c>
    </row>
    <row r="30">
      <c r="L30" s="120" t="s">
        <v>272</v>
      </c>
      <c r="N30" s="120" t="s">
        <v>297</v>
      </c>
      <c r="O30" s="120" t="s">
        <v>311</v>
      </c>
      <c r="W30" s="121"/>
      <c r="X30" s="169" t="s">
        <v>212</v>
      </c>
      <c r="Y30" s="171">
        <f t="shared" ref="Y30:AJ30" si="22">COUNTIFS($N$4:$N$49, "*" &amp;$X30 &amp; "*", $O$4:$O$49, "*" &amp; Y$21 &amp; "*")+COUNTIFS($O$4:$O$49, "*" &amp; $X30 &amp; "*", $N$4:$N$49, "*" &amp; Y$21 &amp; "*")</f>
        <v>1</v>
      </c>
      <c r="Z30" s="171">
        <f t="shared" si="22"/>
        <v>2</v>
      </c>
      <c r="AA30" s="171">
        <f t="shared" si="22"/>
        <v>1</v>
      </c>
      <c r="AB30" s="171">
        <f t="shared" si="22"/>
        <v>3</v>
      </c>
      <c r="AC30" s="171">
        <f t="shared" si="22"/>
        <v>2</v>
      </c>
      <c r="AD30" s="171">
        <f t="shared" si="22"/>
        <v>2</v>
      </c>
      <c r="AE30" s="171">
        <f t="shared" si="22"/>
        <v>3</v>
      </c>
      <c r="AF30" s="171">
        <f t="shared" si="22"/>
        <v>3</v>
      </c>
      <c r="AG30" s="170">
        <f t="shared" si="22"/>
        <v>0</v>
      </c>
      <c r="AH30" s="171">
        <f t="shared" si="22"/>
        <v>1</v>
      </c>
      <c r="AI30" s="171">
        <f t="shared" si="22"/>
        <v>1</v>
      </c>
      <c r="AJ30" s="171">
        <f t="shared" si="22"/>
        <v>3</v>
      </c>
    </row>
    <row r="31">
      <c r="L31" s="120" t="s">
        <v>275</v>
      </c>
      <c r="N31" s="120" t="s">
        <v>291</v>
      </c>
      <c r="O31" s="120" t="s">
        <v>294</v>
      </c>
      <c r="W31" s="121"/>
      <c r="X31" s="169" t="s">
        <v>125</v>
      </c>
      <c r="Y31" s="171">
        <f t="shared" ref="Y31:AJ31" si="23">COUNTIFS($N$4:$N$49, "*" &amp;$X31 &amp; "*", $O$4:$O$49, "*" &amp; Y$21 &amp; "*")+COUNTIFS($O$4:$O$49, "*" &amp; $X31 &amp; "*", $N$4:$N$49, "*" &amp; Y$21 &amp; "*")</f>
        <v>2</v>
      </c>
      <c r="Z31" s="171">
        <f t="shared" si="23"/>
        <v>2</v>
      </c>
      <c r="AA31" s="171">
        <f t="shared" si="23"/>
        <v>2</v>
      </c>
      <c r="AB31" s="171">
        <f t="shared" si="23"/>
        <v>3</v>
      </c>
      <c r="AC31" s="171">
        <f t="shared" si="23"/>
        <v>2</v>
      </c>
      <c r="AD31" s="171">
        <f t="shared" si="23"/>
        <v>2</v>
      </c>
      <c r="AE31" s="171">
        <f t="shared" si="23"/>
        <v>2</v>
      </c>
      <c r="AF31" s="171">
        <f t="shared" si="23"/>
        <v>3</v>
      </c>
      <c r="AG31" s="171">
        <f t="shared" si="23"/>
        <v>1</v>
      </c>
      <c r="AH31" s="170">
        <f t="shared" si="23"/>
        <v>0</v>
      </c>
      <c r="AI31" s="171">
        <f t="shared" si="23"/>
        <v>1</v>
      </c>
      <c r="AJ31" s="171">
        <f t="shared" si="23"/>
        <v>2</v>
      </c>
    </row>
    <row r="32">
      <c r="L32" s="107" t="s">
        <v>278</v>
      </c>
      <c r="P32" s="121">
        <f>IFERROR(__xludf.DUMMYFUNCTION("SUMPRODUCT(1/COUNTIF(TRANSPOSE(SPLIT(TEXTJOIN("" "",TRUE,N33:O35),"" "")),TRANSPOSE(SPLIT(TEXTJOIN("" "",TRUE,N33:O35),"" ""))))"),12.0)</f>
        <v>12</v>
      </c>
      <c r="W32" s="121"/>
      <c r="X32" s="169" t="s">
        <v>213</v>
      </c>
      <c r="Y32" s="171">
        <f t="shared" ref="Y32:AJ32" si="24">COUNTIFS($N$4:$N$49, "*" &amp;$X32 &amp; "*", $O$4:$O$49, "*" &amp; Y$21 &amp; "*")+COUNTIFS($O$4:$O$49, "*" &amp; $X32 &amp; "*", $N$4:$N$49, "*" &amp; Y$21 &amp; "*")</f>
        <v>1</v>
      </c>
      <c r="Z32" s="171">
        <f t="shared" si="24"/>
        <v>3</v>
      </c>
      <c r="AA32" s="171">
        <f t="shared" si="24"/>
        <v>1</v>
      </c>
      <c r="AB32" s="171">
        <f t="shared" si="24"/>
        <v>2</v>
      </c>
      <c r="AC32" s="171">
        <f t="shared" si="24"/>
        <v>3</v>
      </c>
      <c r="AD32" s="171">
        <f t="shared" si="24"/>
        <v>2</v>
      </c>
      <c r="AE32" s="171">
        <f t="shared" si="24"/>
        <v>3</v>
      </c>
      <c r="AF32" s="171">
        <f t="shared" si="24"/>
        <v>3</v>
      </c>
      <c r="AG32" s="171">
        <f t="shared" si="24"/>
        <v>1</v>
      </c>
      <c r="AH32" s="171">
        <f t="shared" si="24"/>
        <v>1</v>
      </c>
      <c r="AI32" s="170">
        <f t="shared" si="24"/>
        <v>0</v>
      </c>
      <c r="AJ32" s="171">
        <f t="shared" si="24"/>
        <v>2</v>
      </c>
    </row>
    <row r="33">
      <c r="L33" s="120" t="s">
        <v>279</v>
      </c>
      <c r="N33" s="120" t="s">
        <v>321</v>
      </c>
      <c r="O33" s="120" t="s">
        <v>304</v>
      </c>
      <c r="X33" s="169" t="s">
        <v>214</v>
      </c>
      <c r="Y33" s="171">
        <f t="shared" ref="Y33:AJ33" si="25">COUNTIFS($N$4:$N$49, "*" &amp;$X33 &amp; "*", $O$4:$O$49, "*" &amp; Y$21 &amp; "*")+COUNTIFS($O$4:$O$49, "*" &amp; $X33 &amp; "*", $N$4:$N$49, "*" &amp; Y$21 &amp; "*")</f>
        <v>2</v>
      </c>
      <c r="Z33" s="171">
        <f t="shared" si="25"/>
        <v>2</v>
      </c>
      <c r="AA33" s="171">
        <f t="shared" si="25"/>
        <v>1</v>
      </c>
      <c r="AB33" s="171">
        <f t="shared" si="25"/>
        <v>1</v>
      </c>
      <c r="AC33" s="171">
        <f t="shared" si="25"/>
        <v>2</v>
      </c>
      <c r="AD33" s="171">
        <f t="shared" si="25"/>
        <v>3</v>
      </c>
      <c r="AE33" s="171">
        <f t="shared" si="25"/>
        <v>1</v>
      </c>
      <c r="AF33" s="171">
        <f t="shared" si="25"/>
        <v>3</v>
      </c>
      <c r="AG33" s="171">
        <f t="shared" si="25"/>
        <v>3</v>
      </c>
      <c r="AH33" s="171">
        <f t="shared" si="25"/>
        <v>2</v>
      </c>
      <c r="AI33" s="171">
        <f t="shared" si="25"/>
        <v>2</v>
      </c>
      <c r="AJ33" s="170">
        <f t="shared" si="25"/>
        <v>0</v>
      </c>
    </row>
    <row r="34">
      <c r="L34" s="120" t="s">
        <v>282</v>
      </c>
      <c r="N34" s="120" t="s">
        <v>308</v>
      </c>
      <c r="O34" s="120" t="s">
        <v>307</v>
      </c>
    </row>
    <row r="35">
      <c r="L35" s="120" t="s">
        <v>285</v>
      </c>
      <c r="N35" s="120" t="s">
        <v>315</v>
      </c>
      <c r="O35" s="120" t="s">
        <v>310</v>
      </c>
    </row>
    <row r="36">
      <c r="L36" s="107" t="s">
        <v>288</v>
      </c>
      <c r="P36" s="121">
        <f>IFERROR(__xludf.DUMMYFUNCTION("SUMPRODUCT(1/COUNTIF(TRANSPOSE(SPLIT(TEXTJOIN("" "",TRUE,N37:O39),"" "")),TRANSPOSE(SPLIT(TEXTJOIN("" "",TRUE,N37:O39),"" ""))))"),12.0)</f>
        <v>12</v>
      </c>
    </row>
    <row r="37">
      <c r="L37" s="120" t="s">
        <v>289</v>
      </c>
      <c r="N37" s="120" t="s">
        <v>314</v>
      </c>
      <c r="O37" s="120" t="s">
        <v>330</v>
      </c>
    </row>
    <row r="38">
      <c r="L38" s="120" t="s">
        <v>292</v>
      </c>
      <c r="N38" s="120" t="s">
        <v>317</v>
      </c>
      <c r="O38" s="120" t="s">
        <v>325</v>
      </c>
    </row>
    <row r="39">
      <c r="L39" s="120" t="s">
        <v>295</v>
      </c>
      <c r="N39" s="120" t="s">
        <v>318</v>
      </c>
      <c r="O39" s="120" t="s">
        <v>328</v>
      </c>
    </row>
    <row r="40">
      <c r="L40" s="107" t="s">
        <v>299</v>
      </c>
      <c r="P40" s="121">
        <f>IFERROR(__xludf.DUMMYFUNCTION("SUMPRODUCT(1/COUNTIF(TRANSPOSE(SPLIT(TEXTJOIN("" "",TRUE,N41:O43),"" "")),TRANSPOSE(SPLIT(TEXTJOIN("" "",TRUE,N41:O43),"" ""))))"),12.0)</f>
        <v>12</v>
      </c>
    </row>
    <row r="41">
      <c r="L41" s="120" t="s">
        <v>303</v>
      </c>
      <c r="N41" s="120" t="s">
        <v>331</v>
      </c>
      <c r="O41" s="120" t="s">
        <v>340</v>
      </c>
    </row>
    <row r="42">
      <c r="L42" s="120" t="s">
        <v>306</v>
      </c>
      <c r="N42" s="120" t="s">
        <v>324</v>
      </c>
      <c r="O42" s="120" t="s">
        <v>337</v>
      </c>
    </row>
    <row r="43">
      <c r="L43" s="120" t="s">
        <v>309</v>
      </c>
      <c r="N43" s="120" t="s">
        <v>338</v>
      </c>
      <c r="O43" s="120" t="s">
        <v>341</v>
      </c>
    </row>
    <row r="44">
      <c r="L44" s="107" t="s">
        <v>312</v>
      </c>
      <c r="P44" s="121">
        <f>IFERROR(__xludf.DUMMYFUNCTION("SUMPRODUCT(1/COUNTIF(TRANSPOSE(SPLIT(TEXTJOIN("" "",TRUE,N45:O47),"" "")),TRANSPOSE(SPLIT(TEXTJOIN("" "",TRUE,N45:O47),"" ""))))"),12.0)</f>
        <v>12</v>
      </c>
    </row>
    <row r="45">
      <c r="L45" s="120" t="s">
        <v>313</v>
      </c>
      <c r="N45" s="120" t="s">
        <v>200</v>
      </c>
      <c r="O45" s="120" t="s">
        <v>201</v>
      </c>
    </row>
    <row r="46">
      <c r="L46" s="120" t="s">
        <v>316</v>
      </c>
      <c r="N46" s="120" t="s">
        <v>198</v>
      </c>
      <c r="O46" s="120" t="s">
        <v>204</v>
      </c>
    </row>
    <row r="47">
      <c r="L47" s="120" t="s">
        <v>319</v>
      </c>
      <c r="N47" s="120" t="s">
        <v>334</v>
      </c>
      <c r="O47" s="120" t="s">
        <v>203</v>
      </c>
    </row>
    <row r="48">
      <c r="L48" s="107"/>
    </row>
    <row r="49">
      <c r="N49" s="107"/>
    </row>
    <row r="50">
      <c r="N50" s="91"/>
    </row>
    <row r="51">
      <c r="N51" s="91"/>
    </row>
    <row r="53">
      <c r="N53" s="91"/>
    </row>
    <row r="54">
      <c r="N54" s="91"/>
    </row>
    <row r="55">
      <c r="N55" s="91"/>
    </row>
    <row r="57">
      <c r="J57" s="91"/>
    </row>
    <row r="58">
      <c r="J58" s="91"/>
    </row>
    <row r="59">
      <c r="J59" s="91"/>
    </row>
    <row r="61">
      <c r="J61" s="91"/>
    </row>
    <row r="62">
      <c r="J62" s="91"/>
    </row>
    <row r="63">
      <c r="J63" s="91"/>
    </row>
    <row r="65">
      <c r="J65" s="91"/>
    </row>
    <row r="66">
      <c r="J66" s="91"/>
    </row>
    <row r="67">
      <c r="J67" s="91"/>
    </row>
    <row r="68">
      <c r="J68" s="91"/>
    </row>
    <row r="69">
      <c r="J69" s="91"/>
    </row>
    <row r="70">
      <c r="J70" s="91"/>
    </row>
    <row r="71">
      <c r="J71" s="91"/>
    </row>
    <row r="72">
      <c r="J72" s="91"/>
    </row>
    <row r="73">
      <c r="J73" s="91"/>
    </row>
    <row r="74">
      <c r="J74" s="91"/>
    </row>
    <row r="75">
      <c r="J75" s="91"/>
    </row>
    <row r="76">
      <c r="J76" s="91"/>
    </row>
    <row r="77">
      <c r="J77" s="91"/>
    </row>
    <row r="78">
      <c r="J78" s="91"/>
    </row>
    <row r="79">
      <c r="J79" s="91"/>
    </row>
    <row r="80">
      <c r="J80" s="91"/>
    </row>
    <row r="81">
      <c r="J81" s="91"/>
    </row>
    <row r="82">
      <c r="J82" s="91"/>
    </row>
    <row r="83">
      <c r="J83" s="91"/>
    </row>
    <row r="84">
      <c r="J84" s="91"/>
    </row>
    <row r="85">
      <c r="J85" s="91"/>
    </row>
    <row r="86">
      <c r="J86" s="91"/>
    </row>
    <row r="87">
      <c r="J87" s="91"/>
      <c r="AL87" s="84" t="s">
        <v>206</v>
      </c>
      <c r="AM87" s="84" t="s">
        <v>207</v>
      </c>
      <c r="AN87" s="84" t="s">
        <v>208</v>
      </c>
      <c r="AO87" s="84" t="s">
        <v>209</v>
      </c>
      <c r="AP87" s="84" t="s">
        <v>210</v>
      </c>
      <c r="AQ87" s="84" t="s">
        <v>124</v>
      </c>
      <c r="AR87" s="84" t="s">
        <v>211</v>
      </c>
      <c r="AS87" s="84" t="s">
        <v>126</v>
      </c>
      <c r="AT87" s="84" t="s">
        <v>212</v>
      </c>
      <c r="AU87" s="84" t="s">
        <v>125</v>
      </c>
      <c r="AV87" s="84" t="s">
        <v>213</v>
      </c>
      <c r="AW87" s="84" t="s">
        <v>214</v>
      </c>
      <c r="AX87" s="84" t="s">
        <v>215</v>
      </c>
    </row>
    <row r="88">
      <c r="J88" s="91"/>
    </row>
    <row r="89">
      <c r="J89" s="91"/>
    </row>
    <row r="90">
      <c r="J90" s="91"/>
    </row>
    <row r="91">
      <c r="J91" s="91"/>
    </row>
    <row r="92">
      <c r="J92" s="91"/>
    </row>
    <row r="93">
      <c r="J93" s="91"/>
    </row>
    <row r="94">
      <c r="J94" s="91"/>
    </row>
    <row r="95">
      <c r="J95" s="91"/>
    </row>
    <row r="96">
      <c r="J96" s="91"/>
    </row>
    <row r="97">
      <c r="J97" s="91"/>
    </row>
    <row r="98">
      <c r="J98" s="91"/>
    </row>
    <row r="99">
      <c r="J99" s="91"/>
    </row>
    <row r="100">
      <c r="J100" s="91"/>
    </row>
    <row r="101">
      <c r="J101" s="91"/>
    </row>
    <row r="102">
      <c r="J102" s="91"/>
    </row>
    <row r="103">
      <c r="J103" s="91"/>
    </row>
    <row r="104">
      <c r="J104" s="91"/>
    </row>
    <row r="105">
      <c r="J105" s="91"/>
    </row>
    <row r="106">
      <c r="J106" s="91"/>
    </row>
    <row r="107">
      <c r="J107" s="91"/>
    </row>
    <row r="108">
      <c r="J108" s="91"/>
    </row>
    <row r="109">
      <c r="J109" s="91"/>
    </row>
    <row r="110">
      <c r="J110" s="91"/>
    </row>
    <row r="111">
      <c r="J111" s="91"/>
    </row>
    <row r="112">
      <c r="J112" s="91"/>
    </row>
    <row r="113">
      <c r="J113" s="91"/>
    </row>
    <row r="114">
      <c r="J114" s="91"/>
    </row>
    <row r="115">
      <c r="J115" s="91"/>
    </row>
    <row r="116">
      <c r="J116" s="91"/>
    </row>
    <row r="117">
      <c r="J117" s="91"/>
    </row>
    <row r="118">
      <c r="J118" s="91"/>
    </row>
    <row r="119">
      <c r="J119" s="91"/>
    </row>
    <row r="120">
      <c r="J120" s="91"/>
    </row>
    <row r="121">
      <c r="J121" s="91"/>
    </row>
    <row r="122">
      <c r="J122" s="91"/>
    </row>
    <row r="123">
      <c r="J123" s="91"/>
    </row>
    <row r="124">
      <c r="J124" s="91"/>
    </row>
    <row r="125">
      <c r="J125" s="91"/>
    </row>
    <row r="126">
      <c r="J126" s="91"/>
    </row>
    <row r="127">
      <c r="J127" s="91"/>
    </row>
    <row r="128">
      <c r="J128" s="91"/>
    </row>
    <row r="129">
      <c r="J129" s="91"/>
    </row>
    <row r="130">
      <c r="J130" s="91"/>
    </row>
    <row r="131">
      <c r="J131" s="91"/>
    </row>
    <row r="132">
      <c r="J132" s="91"/>
    </row>
    <row r="133">
      <c r="J133" s="91"/>
    </row>
    <row r="134">
      <c r="J134" s="91"/>
    </row>
    <row r="135">
      <c r="J135" s="91"/>
    </row>
    <row r="136">
      <c r="J136" s="91"/>
    </row>
    <row r="137">
      <c r="J137" s="91"/>
    </row>
    <row r="138">
      <c r="J138" s="91"/>
    </row>
    <row r="139">
      <c r="J139" s="91"/>
    </row>
    <row r="140">
      <c r="J140" s="91"/>
    </row>
    <row r="141">
      <c r="J141" s="91"/>
    </row>
    <row r="142">
      <c r="J142" s="91"/>
    </row>
    <row r="143">
      <c r="J143" s="91"/>
    </row>
    <row r="144">
      <c r="J144" s="91"/>
    </row>
    <row r="145">
      <c r="J145" s="91"/>
    </row>
    <row r="146">
      <c r="J146" s="91"/>
    </row>
    <row r="147">
      <c r="J147" s="91"/>
    </row>
    <row r="148">
      <c r="J148" s="91"/>
    </row>
    <row r="149">
      <c r="J149" s="91"/>
    </row>
    <row r="150">
      <c r="J150" s="91"/>
    </row>
    <row r="151">
      <c r="J151" s="91"/>
    </row>
    <row r="152">
      <c r="J152" s="91"/>
    </row>
    <row r="153">
      <c r="J153" s="91"/>
    </row>
    <row r="154">
      <c r="J154" s="91"/>
    </row>
    <row r="155">
      <c r="J155" s="91"/>
    </row>
    <row r="156">
      <c r="J156" s="91"/>
    </row>
    <row r="157">
      <c r="J157" s="91"/>
    </row>
    <row r="158">
      <c r="J158" s="91"/>
    </row>
    <row r="159">
      <c r="J159" s="91"/>
    </row>
    <row r="160">
      <c r="J160" s="91"/>
    </row>
    <row r="161">
      <c r="J161" s="91"/>
    </row>
    <row r="162">
      <c r="J162" s="91"/>
    </row>
    <row r="163">
      <c r="J163" s="91"/>
    </row>
    <row r="164">
      <c r="J164" s="91"/>
    </row>
    <row r="165">
      <c r="J165" s="91"/>
    </row>
    <row r="166">
      <c r="J166" s="91"/>
    </row>
    <row r="167">
      <c r="J167" s="91"/>
    </row>
    <row r="168">
      <c r="J168" s="91"/>
    </row>
    <row r="169">
      <c r="J169" s="91"/>
    </row>
    <row r="170">
      <c r="J170" s="91"/>
    </row>
    <row r="171">
      <c r="J171" s="91"/>
    </row>
    <row r="172">
      <c r="J172" s="91"/>
    </row>
    <row r="173">
      <c r="J173" s="91"/>
    </row>
    <row r="174">
      <c r="J174" s="91"/>
    </row>
    <row r="175">
      <c r="J175" s="91"/>
    </row>
    <row r="176">
      <c r="J176" s="91"/>
    </row>
    <row r="177">
      <c r="J177" s="91"/>
    </row>
    <row r="178">
      <c r="J178" s="91"/>
    </row>
    <row r="179">
      <c r="J179" s="91"/>
    </row>
    <row r="180">
      <c r="J180" s="91"/>
    </row>
    <row r="181">
      <c r="J181" s="91"/>
    </row>
    <row r="182">
      <c r="J182" s="91"/>
    </row>
    <row r="183">
      <c r="J183" s="91"/>
    </row>
    <row r="184">
      <c r="J184" s="91"/>
    </row>
    <row r="185">
      <c r="J185" s="91"/>
    </row>
    <row r="186">
      <c r="J186" s="91"/>
    </row>
    <row r="187">
      <c r="J187" s="91"/>
    </row>
    <row r="188">
      <c r="J188" s="91"/>
    </row>
    <row r="189">
      <c r="J189" s="91"/>
    </row>
    <row r="190">
      <c r="J190" s="91"/>
    </row>
    <row r="191">
      <c r="J191" s="91"/>
    </row>
    <row r="192">
      <c r="J192" s="91"/>
    </row>
    <row r="193">
      <c r="J193" s="91"/>
    </row>
    <row r="194">
      <c r="J194" s="91"/>
    </row>
    <row r="195">
      <c r="J195" s="91"/>
    </row>
    <row r="196">
      <c r="J196" s="91"/>
    </row>
    <row r="197">
      <c r="J197" s="91"/>
    </row>
    <row r="198">
      <c r="J198" s="91"/>
    </row>
    <row r="199">
      <c r="J199" s="91"/>
    </row>
    <row r="200">
      <c r="J200" s="91"/>
    </row>
    <row r="201">
      <c r="J201" s="91"/>
    </row>
    <row r="202">
      <c r="J202" s="91"/>
    </row>
    <row r="203">
      <c r="J203" s="91"/>
    </row>
    <row r="204">
      <c r="J204" s="91"/>
    </row>
    <row r="205">
      <c r="J205" s="91"/>
    </row>
    <row r="206">
      <c r="J206" s="91"/>
    </row>
    <row r="207">
      <c r="J207" s="91"/>
    </row>
    <row r="208">
      <c r="J208" s="91"/>
    </row>
    <row r="209">
      <c r="J209" s="91"/>
    </row>
    <row r="210">
      <c r="J210" s="91"/>
    </row>
    <row r="211">
      <c r="J211" s="91"/>
    </row>
    <row r="212">
      <c r="J212" s="91"/>
    </row>
    <row r="213">
      <c r="J213" s="91"/>
    </row>
    <row r="214">
      <c r="J214" s="91"/>
    </row>
    <row r="215">
      <c r="J215" s="91"/>
    </row>
    <row r="216">
      <c r="J216" s="91"/>
    </row>
    <row r="217">
      <c r="J217" s="91"/>
    </row>
    <row r="218">
      <c r="J218" s="91"/>
    </row>
    <row r="219">
      <c r="J219" s="91"/>
    </row>
    <row r="220">
      <c r="J220" s="91"/>
    </row>
    <row r="221">
      <c r="J221" s="91"/>
    </row>
    <row r="222">
      <c r="J222" s="91"/>
    </row>
    <row r="223">
      <c r="J223" s="91"/>
    </row>
    <row r="224">
      <c r="J224" s="91"/>
    </row>
    <row r="225">
      <c r="J225" s="91"/>
    </row>
    <row r="226">
      <c r="J226" s="91"/>
    </row>
    <row r="227">
      <c r="J227" s="91"/>
    </row>
    <row r="228">
      <c r="J228" s="91"/>
    </row>
    <row r="229">
      <c r="J229" s="91"/>
    </row>
    <row r="230">
      <c r="J230" s="91"/>
    </row>
    <row r="231">
      <c r="J231" s="91"/>
    </row>
    <row r="232">
      <c r="J232" s="91"/>
    </row>
    <row r="233">
      <c r="J233" s="91"/>
    </row>
    <row r="234">
      <c r="J234" s="91"/>
    </row>
    <row r="235">
      <c r="J235" s="91"/>
    </row>
    <row r="236">
      <c r="J236" s="91"/>
    </row>
    <row r="237">
      <c r="J237" s="91"/>
    </row>
    <row r="238">
      <c r="J238" s="91"/>
    </row>
    <row r="239">
      <c r="J239" s="91"/>
    </row>
    <row r="240">
      <c r="J240" s="91"/>
    </row>
    <row r="241">
      <c r="J241" s="91"/>
    </row>
    <row r="242">
      <c r="J242" s="91"/>
    </row>
    <row r="243">
      <c r="J243" s="91"/>
    </row>
    <row r="244">
      <c r="J244" s="91"/>
    </row>
    <row r="245">
      <c r="J245" s="91"/>
    </row>
    <row r="246">
      <c r="J246" s="91"/>
    </row>
    <row r="247">
      <c r="J247" s="91"/>
    </row>
    <row r="248">
      <c r="J248" s="91"/>
    </row>
    <row r="249">
      <c r="J249" s="91"/>
    </row>
    <row r="250">
      <c r="J250" s="91"/>
    </row>
    <row r="251">
      <c r="J251" s="91"/>
    </row>
    <row r="252">
      <c r="J252" s="91"/>
    </row>
    <row r="253">
      <c r="J253" s="91"/>
    </row>
    <row r="254">
      <c r="J254" s="91"/>
    </row>
    <row r="255">
      <c r="J255" s="91"/>
    </row>
    <row r="256">
      <c r="J256" s="91"/>
    </row>
    <row r="257">
      <c r="J257" s="91"/>
    </row>
    <row r="258">
      <c r="J258" s="91"/>
    </row>
    <row r="259">
      <c r="J259" s="91"/>
    </row>
    <row r="260">
      <c r="J260" s="91"/>
    </row>
    <row r="261">
      <c r="J261" s="91"/>
    </row>
    <row r="262">
      <c r="J262" s="91"/>
    </row>
    <row r="263">
      <c r="J263" s="91"/>
    </row>
    <row r="264">
      <c r="J264" s="91"/>
    </row>
    <row r="265">
      <c r="J265" s="91"/>
    </row>
    <row r="266">
      <c r="J266" s="91"/>
    </row>
    <row r="267">
      <c r="J267" s="91"/>
    </row>
    <row r="268">
      <c r="J268" s="91"/>
    </row>
    <row r="269">
      <c r="J269" s="91"/>
    </row>
    <row r="270">
      <c r="J270" s="91"/>
    </row>
    <row r="271">
      <c r="J271" s="91"/>
    </row>
    <row r="272">
      <c r="J272" s="91"/>
    </row>
    <row r="273">
      <c r="J273" s="91"/>
    </row>
    <row r="274">
      <c r="J274" s="91"/>
    </row>
    <row r="275">
      <c r="J275" s="91"/>
    </row>
    <row r="276">
      <c r="J276" s="91"/>
    </row>
    <row r="277">
      <c r="J277" s="91"/>
    </row>
    <row r="278">
      <c r="J278" s="91"/>
    </row>
    <row r="279">
      <c r="J279" s="91"/>
    </row>
    <row r="280">
      <c r="J280" s="91"/>
    </row>
    <row r="281">
      <c r="J281" s="91"/>
    </row>
    <row r="282">
      <c r="J282" s="91"/>
    </row>
    <row r="283">
      <c r="J283" s="91"/>
    </row>
    <row r="284">
      <c r="J284" s="91"/>
    </row>
    <row r="285">
      <c r="J285" s="91"/>
    </row>
    <row r="286">
      <c r="J286" s="91"/>
    </row>
    <row r="287">
      <c r="J287" s="91"/>
    </row>
    <row r="288">
      <c r="J288" s="91"/>
    </row>
    <row r="289">
      <c r="J289" s="91"/>
    </row>
    <row r="290">
      <c r="J290" s="91"/>
    </row>
    <row r="291">
      <c r="J291" s="91"/>
    </row>
    <row r="292">
      <c r="J292" s="91"/>
    </row>
    <row r="293">
      <c r="J293" s="91"/>
    </row>
    <row r="294">
      <c r="J294" s="91"/>
    </row>
    <row r="295">
      <c r="J295" s="91"/>
    </row>
    <row r="296">
      <c r="J296" s="91"/>
    </row>
    <row r="297">
      <c r="J297" s="91"/>
    </row>
    <row r="298">
      <c r="J298" s="91"/>
    </row>
    <row r="299">
      <c r="J299" s="91"/>
    </row>
    <row r="300">
      <c r="J300" s="91"/>
    </row>
    <row r="301">
      <c r="J301" s="91"/>
    </row>
    <row r="302">
      <c r="J302" s="91"/>
    </row>
    <row r="303">
      <c r="J303" s="91"/>
    </row>
    <row r="304">
      <c r="J304" s="91"/>
    </row>
    <row r="305">
      <c r="J305" s="91"/>
    </row>
    <row r="306">
      <c r="J306" s="91"/>
    </row>
    <row r="307">
      <c r="J307" s="91"/>
    </row>
    <row r="308">
      <c r="J308" s="91"/>
    </row>
    <row r="309">
      <c r="J309" s="91"/>
    </row>
    <row r="310">
      <c r="J310" s="91"/>
    </row>
    <row r="311">
      <c r="J311" s="91"/>
    </row>
    <row r="312">
      <c r="J312" s="91"/>
    </row>
    <row r="313">
      <c r="J313" s="91"/>
    </row>
    <row r="314">
      <c r="J314" s="91"/>
    </row>
    <row r="315">
      <c r="J315" s="91"/>
    </row>
    <row r="316">
      <c r="J316" s="91"/>
    </row>
    <row r="317">
      <c r="J317" s="91"/>
    </row>
    <row r="318">
      <c r="J318" s="91"/>
    </row>
    <row r="319">
      <c r="J319" s="91"/>
    </row>
    <row r="320">
      <c r="J320" s="91"/>
    </row>
    <row r="321">
      <c r="J321" s="91"/>
    </row>
    <row r="322">
      <c r="J322" s="91"/>
    </row>
    <row r="323">
      <c r="J323" s="91"/>
    </row>
    <row r="324">
      <c r="J324" s="91"/>
    </row>
    <row r="325">
      <c r="J325" s="91"/>
    </row>
    <row r="326">
      <c r="J326" s="91"/>
    </row>
    <row r="327">
      <c r="J327" s="91"/>
    </row>
    <row r="328">
      <c r="J328" s="91"/>
    </row>
    <row r="329">
      <c r="J329" s="91"/>
    </row>
    <row r="330">
      <c r="J330" s="91"/>
    </row>
    <row r="331">
      <c r="J331" s="91"/>
    </row>
    <row r="332">
      <c r="J332" s="91"/>
    </row>
    <row r="333">
      <c r="J333" s="91"/>
    </row>
    <row r="334">
      <c r="J334" s="91"/>
    </row>
    <row r="335">
      <c r="J335" s="91"/>
    </row>
    <row r="336">
      <c r="J336" s="91"/>
    </row>
    <row r="337">
      <c r="J337" s="91"/>
    </row>
    <row r="338">
      <c r="J338" s="91"/>
    </row>
    <row r="339">
      <c r="J339" s="91"/>
    </row>
    <row r="340">
      <c r="J340" s="91"/>
    </row>
    <row r="341">
      <c r="J341" s="91"/>
    </row>
    <row r="342">
      <c r="J342" s="91"/>
    </row>
    <row r="343">
      <c r="J343" s="91"/>
    </row>
    <row r="344">
      <c r="J344" s="91"/>
    </row>
    <row r="345">
      <c r="J345" s="91"/>
    </row>
    <row r="346">
      <c r="J346" s="91"/>
    </row>
    <row r="347">
      <c r="J347" s="91"/>
    </row>
    <row r="348">
      <c r="J348" s="91"/>
    </row>
    <row r="349">
      <c r="J349" s="91"/>
    </row>
    <row r="350">
      <c r="J350" s="91"/>
    </row>
    <row r="351">
      <c r="J351" s="91"/>
    </row>
    <row r="352">
      <c r="J352" s="91"/>
    </row>
    <row r="353">
      <c r="J353" s="91"/>
    </row>
    <row r="354">
      <c r="J354" s="91"/>
    </row>
    <row r="355">
      <c r="J355" s="91"/>
    </row>
    <row r="356">
      <c r="J356" s="91"/>
    </row>
    <row r="357">
      <c r="J357" s="91"/>
    </row>
    <row r="358">
      <c r="J358" s="91"/>
    </row>
    <row r="359">
      <c r="J359" s="91"/>
    </row>
    <row r="360">
      <c r="J360" s="91"/>
    </row>
    <row r="361">
      <c r="J361" s="91"/>
    </row>
    <row r="362">
      <c r="J362" s="91"/>
    </row>
    <row r="363">
      <c r="J363" s="91"/>
    </row>
    <row r="364">
      <c r="J364" s="91"/>
    </row>
    <row r="365">
      <c r="J365" s="91"/>
    </row>
    <row r="366">
      <c r="J366" s="91"/>
    </row>
    <row r="367">
      <c r="J367" s="91"/>
    </row>
    <row r="368">
      <c r="J368" s="91"/>
    </row>
    <row r="369">
      <c r="J369" s="91"/>
    </row>
    <row r="370">
      <c r="J370" s="91"/>
    </row>
    <row r="371">
      <c r="J371" s="91"/>
    </row>
    <row r="372">
      <c r="J372" s="91"/>
    </row>
    <row r="373">
      <c r="J373" s="91"/>
    </row>
    <row r="374">
      <c r="J374" s="91"/>
    </row>
    <row r="375">
      <c r="J375" s="91"/>
    </row>
    <row r="376">
      <c r="J376" s="91"/>
    </row>
    <row r="377">
      <c r="J377" s="91"/>
    </row>
    <row r="378">
      <c r="J378" s="91"/>
    </row>
    <row r="379">
      <c r="J379" s="91"/>
    </row>
    <row r="380">
      <c r="J380" s="91"/>
    </row>
    <row r="381">
      <c r="J381" s="91"/>
    </row>
    <row r="382">
      <c r="J382" s="91"/>
    </row>
    <row r="383">
      <c r="J383" s="91"/>
    </row>
    <row r="384">
      <c r="J384" s="91"/>
    </row>
    <row r="385">
      <c r="J385" s="91"/>
    </row>
    <row r="386">
      <c r="J386" s="91"/>
    </row>
    <row r="387">
      <c r="J387" s="91"/>
    </row>
    <row r="388">
      <c r="J388" s="91"/>
    </row>
    <row r="389">
      <c r="J389" s="91"/>
    </row>
    <row r="390">
      <c r="J390" s="91"/>
    </row>
    <row r="391">
      <c r="J391" s="91"/>
    </row>
    <row r="392">
      <c r="J392" s="91"/>
    </row>
    <row r="393">
      <c r="J393" s="91"/>
    </row>
    <row r="394">
      <c r="J394" s="91"/>
    </row>
    <row r="395">
      <c r="J395" s="91"/>
    </row>
    <row r="396">
      <c r="J396" s="91"/>
    </row>
    <row r="397">
      <c r="J397" s="91"/>
    </row>
    <row r="398">
      <c r="J398" s="91"/>
    </row>
    <row r="399">
      <c r="J399" s="91"/>
    </row>
    <row r="400">
      <c r="J400" s="91"/>
    </row>
    <row r="401">
      <c r="J401" s="91"/>
    </row>
    <row r="402">
      <c r="J402" s="91"/>
    </row>
    <row r="403">
      <c r="J403" s="91"/>
    </row>
    <row r="404">
      <c r="J404" s="91"/>
    </row>
    <row r="405">
      <c r="J405" s="91"/>
    </row>
    <row r="406">
      <c r="J406" s="91"/>
    </row>
    <row r="407">
      <c r="J407" s="91"/>
    </row>
    <row r="408">
      <c r="J408" s="91"/>
    </row>
    <row r="409">
      <c r="J409" s="91"/>
    </row>
    <row r="410">
      <c r="J410" s="91"/>
    </row>
    <row r="411">
      <c r="J411" s="91"/>
    </row>
    <row r="412">
      <c r="J412" s="91"/>
    </row>
    <row r="413">
      <c r="J413" s="91"/>
    </row>
    <row r="414">
      <c r="J414" s="91"/>
    </row>
    <row r="415">
      <c r="J415" s="91"/>
    </row>
    <row r="416">
      <c r="J416" s="91"/>
    </row>
    <row r="417">
      <c r="J417" s="91"/>
    </row>
    <row r="418">
      <c r="J418" s="91"/>
    </row>
    <row r="419">
      <c r="J419" s="91"/>
    </row>
    <row r="420">
      <c r="J420" s="91"/>
    </row>
    <row r="421">
      <c r="J421" s="91"/>
    </row>
    <row r="422">
      <c r="J422" s="91"/>
    </row>
    <row r="423">
      <c r="J423" s="91"/>
    </row>
    <row r="424">
      <c r="J424" s="91"/>
    </row>
    <row r="425">
      <c r="J425" s="91"/>
    </row>
    <row r="426">
      <c r="J426" s="91"/>
    </row>
    <row r="427">
      <c r="J427" s="91"/>
    </row>
    <row r="428">
      <c r="J428" s="91"/>
    </row>
    <row r="429">
      <c r="J429" s="91"/>
    </row>
    <row r="430">
      <c r="J430" s="91"/>
    </row>
    <row r="431">
      <c r="J431" s="91"/>
    </row>
    <row r="432">
      <c r="J432" s="91"/>
    </row>
    <row r="433">
      <c r="J433" s="91"/>
    </row>
    <row r="434">
      <c r="J434" s="91"/>
    </row>
    <row r="435">
      <c r="J435" s="91"/>
    </row>
    <row r="436">
      <c r="J436" s="91"/>
    </row>
    <row r="437">
      <c r="J437" s="91"/>
    </row>
    <row r="438">
      <c r="J438" s="91"/>
    </row>
    <row r="439">
      <c r="J439" s="91"/>
    </row>
    <row r="440">
      <c r="J440" s="91"/>
    </row>
    <row r="441">
      <c r="J441" s="91"/>
    </row>
    <row r="442">
      <c r="J442" s="91"/>
    </row>
    <row r="443">
      <c r="J443" s="91"/>
    </row>
    <row r="444">
      <c r="J444" s="91"/>
    </row>
    <row r="445">
      <c r="J445" s="91"/>
    </row>
    <row r="446">
      <c r="J446" s="91"/>
    </row>
    <row r="447">
      <c r="J447" s="91"/>
    </row>
    <row r="448">
      <c r="J448" s="91"/>
    </row>
    <row r="449">
      <c r="J449" s="91"/>
    </row>
    <row r="450">
      <c r="J450" s="91"/>
    </row>
    <row r="451">
      <c r="J451" s="91"/>
    </row>
    <row r="452">
      <c r="J452" s="91"/>
    </row>
    <row r="453">
      <c r="J453" s="91"/>
    </row>
    <row r="454">
      <c r="J454" s="91"/>
    </row>
    <row r="455">
      <c r="J455" s="91"/>
    </row>
    <row r="456">
      <c r="J456" s="91"/>
    </row>
    <row r="457">
      <c r="J457" s="91"/>
    </row>
    <row r="458">
      <c r="J458" s="91"/>
    </row>
    <row r="459">
      <c r="J459" s="91"/>
    </row>
    <row r="460">
      <c r="J460" s="91"/>
    </row>
    <row r="461">
      <c r="J461" s="91"/>
    </row>
    <row r="462">
      <c r="J462" s="91"/>
    </row>
    <row r="463">
      <c r="J463" s="91"/>
    </row>
    <row r="464">
      <c r="J464" s="91"/>
    </row>
    <row r="465">
      <c r="J465" s="91"/>
    </row>
    <row r="466">
      <c r="J466" s="91"/>
    </row>
    <row r="467">
      <c r="J467" s="91"/>
    </row>
    <row r="468">
      <c r="J468" s="91"/>
    </row>
    <row r="469">
      <c r="J469" s="91"/>
    </row>
    <row r="470">
      <c r="J470" s="91"/>
    </row>
    <row r="471">
      <c r="J471" s="91"/>
    </row>
    <row r="472">
      <c r="J472" s="91"/>
    </row>
    <row r="473">
      <c r="J473" s="91"/>
    </row>
    <row r="474">
      <c r="J474" s="91"/>
    </row>
    <row r="475">
      <c r="J475" s="91"/>
    </row>
    <row r="476">
      <c r="J476" s="91"/>
    </row>
    <row r="477">
      <c r="J477" s="91"/>
    </row>
    <row r="478">
      <c r="J478" s="91"/>
    </row>
    <row r="479">
      <c r="J479" s="91"/>
    </row>
    <row r="480">
      <c r="J480" s="91"/>
    </row>
    <row r="481">
      <c r="J481" s="91"/>
    </row>
    <row r="482">
      <c r="J482" s="91"/>
    </row>
    <row r="483">
      <c r="J483" s="91"/>
    </row>
    <row r="484">
      <c r="J484" s="91"/>
    </row>
    <row r="485">
      <c r="J485" s="91"/>
    </row>
    <row r="486">
      <c r="J486" s="91"/>
    </row>
    <row r="487">
      <c r="J487" s="91"/>
    </row>
    <row r="488">
      <c r="J488" s="91"/>
    </row>
    <row r="489">
      <c r="J489" s="91"/>
    </row>
    <row r="490">
      <c r="J490" s="91"/>
    </row>
    <row r="491">
      <c r="J491" s="91"/>
    </row>
    <row r="492">
      <c r="J492" s="91"/>
    </row>
    <row r="493">
      <c r="J493" s="91"/>
    </row>
    <row r="494">
      <c r="J494" s="91"/>
    </row>
    <row r="495">
      <c r="J495" s="91"/>
    </row>
    <row r="496">
      <c r="J496" s="91"/>
    </row>
    <row r="497">
      <c r="J497" s="91"/>
    </row>
    <row r="498">
      <c r="J498" s="91"/>
    </row>
    <row r="499">
      <c r="J499" s="91"/>
    </row>
    <row r="500">
      <c r="J500" s="91"/>
    </row>
    <row r="501">
      <c r="J501" s="91"/>
    </row>
    <row r="502">
      <c r="J502" s="91"/>
    </row>
    <row r="503">
      <c r="J503" s="91"/>
    </row>
    <row r="504">
      <c r="J504" s="91"/>
    </row>
    <row r="505">
      <c r="J505" s="91"/>
    </row>
    <row r="506">
      <c r="J506" s="91"/>
    </row>
    <row r="507">
      <c r="J507" s="91"/>
    </row>
    <row r="508">
      <c r="J508" s="91"/>
    </row>
    <row r="509">
      <c r="J509" s="91"/>
    </row>
    <row r="510">
      <c r="J510" s="91"/>
    </row>
    <row r="511">
      <c r="J511" s="91"/>
    </row>
    <row r="512">
      <c r="J512" s="91"/>
    </row>
    <row r="513">
      <c r="J513" s="91"/>
    </row>
    <row r="514">
      <c r="J514" s="91"/>
    </row>
    <row r="515">
      <c r="J515" s="91"/>
    </row>
    <row r="516">
      <c r="J516" s="91"/>
    </row>
    <row r="517">
      <c r="J517" s="91"/>
    </row>
    <row r="518">
      <c r="J518" s="91"/>
    </row>
    <row r="519">
      <c r="J519" s="91"/>
    </row>
    <row r="520">
      <c r="J520" s="91"/>
    </row>
    <row r="521">
      <c r="J521" s="91"/>
    </row>
    <row r="522">
      <c r="J522" s="91"/>
    </row>
    <row r="523">
      <c r="J523" s="91"/>
    </row>
    <row r="524">
      <c r="J524" s="91"/>
    </row>
    <row r="525">
      <c r="J525" s="91"/>
    </row>
    <row r="526">
      <c r="J526" s="91"/>
    </row>
    <row r="527">
      <c r="J527" s="91"/>
    </row>
    <row r="528">
      <c r="J528" s="91"/>
    </row>
    <row r="529">
      <c r="J529" s="91"/>
    </row>
    <row r="530">
      <c r="J530" s="91"/>
    </row>
    <row r="531">
      <c r="J531" s="91"/>
    </row>
    <row r="532">
      <c r="J532" s="91"/>
    </row>
    <row r="533">
      <c r="J533" s="91"/>
    </row>
    <row r="534">
      <c r="J534" s="91"/>
    </row>
    <row r="535">
      <c r="J535" s="91"/>
    </row>
    <row r="536">
      <c r="J536" s="91"/>
    </row>
    <row r="537">
      <c r="J537" s="91"/>
    </row>
    <row r="538">
      <c r="J538" s="91"/>
    </row>
    <row r="539">
      <c r="J539" s="91"/>
    </row>
    <row r="540">
      <c r="J540" s="91"/>
    </row>
    <row r="541">
      <c r="J541" s="91"/>
    </row>
    <row r="542">
      <c r="J542" s="91"/>
    </row>
    <row r="543">
      <c r="J543" s="91"/>
    </row>
    <row r="544">
      <c r="J544" s="91"/>
    </row>
    <row r="545">
      <c r="J545" s="91"/>
    </row>
    <row r="546">
      <c r="J546" s="91"/>
    </row>
    <row r="547">
      <c r="J547" s="91"/>
    </row>
    <row r="548">
      <c r="J548" s="91"/>
    </row>
    <row r="549">
      <c r="J549" s="91"/>
    </row>
    <row r="550">
      <c r="J550" s="91"/>
    </row>
    <row r="551">
      <c r="J551" s="91"/>
    </row>
    <row r="552">
      <c r="J552" s="91"/>
    </row>
    <row r="553">
      <c r="J553" s="91"/>
    </row>
    <row r="554">
      <c r="J554" s="91"/>
    </row>
    <row r="555">
      <c r="J555" s="91"/>
    </row>
    <row r="556">
      <c r="J556" s="91"/>
    </row>
    <row r="557">
      <c r="J557" s="91"/>
    </row>
    <row r="558">
      <c r="J558" s="91"/>
    </row>
    <row r="559">
      <c r="J559" s="91"/>
    </row>
    <row r="560">
      <c r="J560" s="91"/>
    </row>
    <row r="561">
      <c r="J561" s="91"/>
    </row>
    <row r="562">
      <c r="J562" s="91"/>
    </row>
    <row r="563">
      <c r="J563" s="91"/>
    </row>
    <row r="564">
      <c r="J564" s="91"/>
    </row>
    <row r="565">
      <c r="J565" s="91"/>
    </row>
    <row r="566">
      <c r="J566" s="91"/>
    </row>
    <row r="567">
      <c r="J567" s="91"/>
    </row>
    <row r="568">
      <c r="J568" s="91"/>
    </row>
    <row r="569">
      <c r="J569" s="91"/>
    </row>
    <row r="570">
      <c r="J570" s="91"/>
    </row>
    <row r="571">
      <c r="J571" s="91"/>
    </row>
    <row r="572">
      <c r="J572" s="91"/>
    </row>
    <row r="573">
      <c r="J573" s="91"/>
    </row>
    <row r="574">
      <c r="J574" s="91"/>
    </row>
    <row r="575">
      <c r="J575" s="91"/>
    </row>
    <row r="576">
      <c r="J576" s="91"/>
    </row>
    <row r="577">
      <c r="J577" s="91"/>
    </row>
    <row r="578">
      <c r="J578" s="91"/>
    </row>
    <row r="579">
      <c r="J579" s="91"/>
    </row>
    <row r="580">
      <c r="J580" s="91"/>
    </row>
    <row r="581">
      <c r="J581" s="91"/>
    </row>
    <row r="582">
      <c r="J582" s="91"/>
    </row>
    <row r="583">
      <c r="J583" s="91"/>
    </row>
    <row r="584">
      <c r="J584" s="91"/>
    </row>
    <row r="585">
      <c r="J585" s="91"/>
    </row>
    <row r="586">
      <c r="J586" s="91"/>
    </row>
    <row r="587">
      <c r="J587" s="91"/>
    </row>
    <row r="588">
      <c r="J588" s="91"/>
    </row>
    <row r="589">
      <c r="J589" s="91"/>
    </row>
    <row r="590">
      <c r="J590" s="91"/>
    </row>
    <row r="591">
      <c r="J591" s="91"/>
    </row>
    <row r="592">
      <c r="J592" s="91"/>
    </row>
    <row r="593">
      <c r="J593" s="91"/>
    </row>
    <row r="594">
      <c r="J594" s="91"/>
    </row>
    <row r="595">
      <c r="J595" s="91"/>
    </row>
    <row r="596">
      <c r="J596" s="91"/>
    </row>
    <row r="597">
      <c r="J597" s="91"/>
    </row>
    <row r="598">
      <c r="J598" s="91"/>
    </row>
    <row r="599">
      <c r="J599" s="91"/>
    </row>
    <row r="600">
      <c r="J600" s="91"/>
    </row>
    <row r="601">
      <c r="J601" s="91"/>
    </row>
    <row r="602">
      <c r="J602" s="91"/>
    </row>
    <row r="603">
      <c r="J603" s="91"/>
    </row>
    <row r="604">
      <c r="J604" s="91"/>
    </row>
    <row r="605">
      <c r="J605" s="91"/>
    </row>
    <row r="606">
      <c r="J606" s="91"/>
    </row>
    <row r="607">
      <c r="J607" s="91"/>
    </row>
    <row r="608">
      <c r="J608" s="91"/>
    </row>
    <row r="609">
      <c r="J609" s="91"/>
    </row>
    <row r="610">
      <c r="J610" s="91"/>
    </row>
    <row r="611">
      <c r="J611" s="91"/>
    </row>
    <row r="612">
      <c r="J612" s="91"/>
    </row>
    <row r="613">
      <c r="J613" s="91"/>
    </row>
    <row r="614">
      <c r="J614" s="91"/>
    </row>
    <row r="615">
      <c r="J615" s="91"/>
    </row>
    <row r="616">
      <c r="J616" s="91"/>
    </row>
    <row r="617">
      <c r="J617" s="91"/>
    </row>
    <row r="618">
      <c r="J618" s="91"/>
    </row>
    <row r="619">
      <c r="J619" s="91"/>
    </row>
    <row r="620">
      <c r="J620" s="91"/>
    </row>
    <row r="621">
      <c r="J621" s="91"/>
    </row>
    <row r="622">
      <c r="J622" s="91"/>
    </row>
    <row r="623">
      <c r="J623" s="91"/>
    </row>
    <row r="624">
      <c r="J624" s="91"/>
    </row>
    <row r="625">
      <c r="J625" s="91"/>
    </row>
    <row r="626">
      <c r="J626" s="91"/>
    </row>
    <row r="627">
      <c r="J627" s="91"/>
    </row>
    <row r="628">
      <c r="J628" s="91"/>
    </row>
    <row r="629">
      <c r="J629" s="91"/>
    </row>
    <row r="630">
      <c r="J630" s="91"/>
    </row>
    <row r="631">
      <c r="J631" s="91"/>
    </row>
    <row r="632">
      <c r="J632" s="91"/>
    </row>
    <row r="633">
      <c r="J633" s="91"/>
    </row>
    <row r="634">
      <c r="J634" s="91"/>
    </row>
    <row r="635">
      <c r="J635" s="91"/>
    </row>
    <row r="636">
      <c r="J636" s="91"/>
    </row>
    <row r="637">
      <c r="J637" s="91"/>
    </row>
    <row r="638">
      <c r="J638" s="91"/>
    </row>
    <row r="639">
      <c r="J639" s="91"/>
    </row>
    <row r="640">
      <c r="J640" s="91"/>
    </row>
    <row r="641">
      <c r="J641" s="91"/>
    </row>
    <row r="642">
      <c r="J642" s="91"/>
    </row>
    <row r="643">
      <c r="J643" s="91"/>
    </row>
    <row r="644">
      <c r="J644" s="91"/>
    </row>
    <row r="645">
      <c r="J645" s="91"/>
    </row>
    <row r="646">
      <c r="J646" s="91"/>
    </row>
    <row r="647">
      <c r="J647" s="91"/>
    </row>
    <row r="648">
      <c r="J648" s="91"/>
    </row>
    <row r="649">
      <c r="J649" s="91"/>
    </row>
    <row r="650">
      <c r="J650" s="91"/>
    </row>
    <row r="651">
      <c r="J651" s="91"/>
    </row>
    <row r="652">
      <c r="J652" s="91"/>
    </row>
    <row r="653">
      <c r="J653" s="91"/>
    </row>
    <row r="654">
      <c r="J654" s="91"/>
    </row>
    <row r="655">
      <c r="J655" s="91"/>
    </row>
    <row r="656">
      <c r="J656" s="91"/>
    </row>
    <row r="657">
      <c r="J657" s="91"/>
    </row>
    <row r="658">
      <c r="J658" s="91"/>
    </row>
    <row r="659">
      <c r="J659" s="91"/>
    </row>
    <row r="660">
      <c r="J660" s="91"/>
    </row>
    <row r="661">
      <c r="J661" s="91"/>
    </row>
    <row r="662">
      <c r="J662" s="91"/>
    </row>
    <row r="663">
      <c r="J663" s="91"/>
    </row>
    <row r="664">
      <c r="J664" s="91"/>
    </row>
    <row r="665">
      <c r="J665" s="91"/>
    </row>
    <row r="666">
      <c r="J666" s="91"/>
    </row>
    <row r="667">
      <c r="J667" s="91"/>
    </row>
    <row r="668">
      <c r="J668" s="91"/>
    </row>
    <row r="669">
      <c r="J669" s="91"/>
    </row>
    <row r="670">
      <c r="J670" s="91"/>
    </row>
    <row r="671">
      <c r="J671" s="91"/>
    </row>
    <row r="672">
      <c r="J672" s="91"/>
    </row>
    <row r="673">
      <c r="J673" s="91"/>
    </row>
    <row r="674">
      <c r="J674" s="91"/>
    </row>
    <row r="675">
      <c r="J675" s="91"/>
    </row>
    <row r="676">
      <c r="J676" s="91"/>
    </row>
    <row r="677">
      <c r="J677" s="91"/>
    </row>
    <row r="678">
      <c r="J678" s="91"/>
    </row>
    <row r="679">
      <c r="J679" s="91"/>
    </row>
    <row r="680">
      <c r="J680" s="91"/>
    </row>
    <row r="681">
      <c r="J681" s="91"/>
    </row>
    <row r="682">
      <c r="J682" s="91"/>
    </row>
    <row r="683">
      <c r="J683" s="91"/>
    </row>
    <row r="684">
      <c r="J684" s="91"/>
    </row>
    <row r="685">
      <c r="J685" s="91"/>
    </row>
    <row r="686">
      <c r="J686" s="91"/>
    </row>
    <row r="687">
      <c r="J687" s="91"/>
    </row>
    <row r="688">
      <c r="J688" s="91"/>
    </row>
    <row r="689">
      <c r="J689" s="91"/>
    </row>
    <row r="690">
      <c r="J690" s="91"/>
    </row>
    <row r="691">
      <c r="J691" s="91"/>
    </row>
    <row r="692">
      <c r="J692" s="91"/>
    </row>
    <row r="693">
      <c r="J693" s="91"/>
    </row>
    <row r="694">
      <c r="J694" s="91"/>
    </row>
    <row r="695">
      <c r="J695" s="91"/>
    </row>
    <row r="696">
      <c r="J696" s="91"/>
    </row>
    <row r="697">
      <c r="J697" s="91"/>
    </row>
    <row r="698">
      <c r="J698" s="91"/>
    </row>
    <row r="699">
      <c r="J699" s="91"/>
    </row>
    <row r="700">
      <c r="J700" s="91"/>
    </row>
    <row r="701">
      <c r="J701" s="91"/>
    </row>
    <row r="702">
      <c r="J702" s="91"/>
    </row>
    <row r="703">
      <c r="J703" s="91"/>
    </row>
    <row r="704">
      <c r="J704" s="91"/>
    </row>
    <row r="705">
      <c r="J705" s="91"/>
    </row>
    <row r="706">
      <c r="J706" s="91"/>
    </row>
    <row r="707">
      <c r="J707" s="91"/>
    </row>
    <row r="708">
      <c r="J708" s="91"/>
    </row>
    <row r="709">
      <c r="J709" s="91"/>
    </row>
    <row r="710">
      <c r="J710" s="91"/>
    </row>
    <row r="711">
      <c r="J711" s="91"/>
    </row>
    <row r="712">
      <c r="J712" s="91"/>
    </row>
    <row r="713">
      <c r="J713" s="91"/>
    </row>
    <row r="714">
      <c r="J714" s="91"/>
    </row>
    <row r="715">
      <c r="J715" s="91"/>
    </row>
    <row r="716">
      <c r="J716" s="91"/>
    </row>
    <row r="717">
      <c r="J717" s="91"/>
    </row>
    <row r="718">
      <c r="J718" s="91"/>
    </row>
    <row r="719">
      <c r="J719" s="91"/>
    </row>
    <row r="720">
      <c r="J720" s="91"/>
    </row>
    <row r="721">
      <c r="J721" s="91"/>
    </row>
    <row r="722">
      <c r="J722" s="91"/>
    </row>
    <row r="723">
      <c r="J723" s="91"/>
    </row>
    <row r="724">
      <c r="J724" s="91"/>
    </row>
    <row r="725">
      <c r="J725" s="91"/>
    </row>
    <row r="726">
      <c r="J726" s="91"/>
    </row>
    <row r="727">
      <c r="J727" s="91"/>
    </row>
    <row r="728">
      <c r="J728" s="91"/>
    </row>
    <row r="729">
      <c r="J729" s="91"/>
    </row>
    <row r="730">
      <c r="J730" s="91"/>
    </row>
    <row r="731">
      <c r="J731" s="91"/>
    </row>
    <row r="732">
      <c r="J732" s="91"/>
    </row>
    <row r="733">
      <c r="J733" s="91"/>
    </row>
    <row r="734">
      <c r="J734" s="91"/>
    </row>
    <row r="735">
      <c r="J735" s="91"/>
    </row>
    <row r="736">
      <c r="J736" s="91"/>
    </row>
    <row r="737">
      <c r="J737" s="91"/>
    </row>
    <row r="738">
      <c r="J738" s="91"/>
    </row>
    <row r="739">
      <c r="J739" s="91"/>
    </row>
    <row r="740">
      <c r="J740" s="91"/>
    </row>
    <row r="741">
      <c r="J741" s="91"/>
    </row>
    <row r="742">
      <c r="J742" s="91"/>
    </row>
    <row r="743">
      <c r="J743" s="91"/>
    </row>
    <row r="744">
      <c r="J744" s="91"/>
    </row>
    <row r="745">
      <c r="J745" s="91"/>
    </row>
    <row r="746">
      <c r="J746" s="91"/>
    </row>
    <row r="747">
      <c r="J747" s="91"/>
    </row>
    <row r="748">
      <c r="J748" s="91"/>
    </row>
    <row r="749">
      <c r="J749" s="91"/>
    </row>
    <row r="750">
      <c r="J750" s="91"/>
    </row>
    <row r="751">
      <c r="J751" s="91"/>
    </row>
    <row r="752">
      <c r="J752" s="91"/>
    </row>
    <row r="753">
      <c r="J753" s="91"/>
    </row>
    <row r="754">
      <c r="J754" s="91"/>
    </row>
    <row r="755">
      <c r="J755" s="91"/>
    </row>
    <row r="756">
      <c r="J756" s="91"/>
    </row>
    <row r="757">
      <c r="J757" s="91"/>
    </row>
    <row r="758">
      <c r="J758" s="91"/>
    </row>
    <row r="759">
      <c r="J759" s="91"/>
    </row>
    <row r="760">
      <c r="J760" s="91"/>
    </row>
    <row r="761">
      <c r="J761" s="91"/>
    </row>
    <row r="762">
      <c r="J762" s="91"/>
    </row>
    <row r="763">
      <c r="J763" s="91"/>
    </row>
    <row r="764">
      <c r="J764" s="91"/>
    </row>
    <row r="765">
      <c r="J765" s="91"/>
    </row>
    <row r="766">
      <c r="J766" s="91"/>
    </row>
    <row r="767">
      <c r="J767" s="91"/>
    </row>
    <row r="768">
      <c r="J768" s="91"/>
    </row>
    <row r="769">
      <c r="J769" s="91"/>
    </row>
    <row r="770">
      <c r="J770" s="91"/>
    </row>
    <row r="771">
      <c r="J771" s="91"/>
    </row>
    <row r="772">
      <c r="J772" s="91"/>
    </row>
    <row r="773">
      <c r="J773" s="91"/>
    </row>
    <row r="774">
      <c r="J774" s="91"/>
    </row>
    <row r="775">
      <c r="J775" s="91"/>
    </row>
    <row r="776">
      <c r="J776" s="91"/>
    </row>
    <row r="777">
      <c r="J777" s="91"/>
    </row>
    <row r="778">
      <c r="J778" s="91"/>
    </row>
    <row r="779">
      <c r="J779" s="91"/>
    </row>
    <row r="780">
      <c r="J780" s="91"/>
    </row>
    <row r="781">
      <c r="J781" s="91"/>
    </row>
    <row r="782">
      <c r="J782" s="91"/>
    </row>
    <row r="783">
      <c r="J783" s="91"/>
    </row>
    <row r="784">
      <c r="J784" s="91"/>
    </row>
    <row r="785">
      <c r="J785" s="91"/>
    </row>
    <row r="786">
      <c r="J786" s="91"/>
    </row>
    <row r="787">
      <c r="J787" s="91"/>
    </row>
    <row r="788">
      <c r="J788" s="91"/>
    </row>
    <row r="789">
      <c r="J789" s="91"/>
    </row>
    <row r="790">
      <c r="J790" s="91"/>
    </row>
    <row r="791">
      <c r="J791" s="91"/>
    </row>
    <row r="792">
      <c r="J792" s="91"/>
    </row>
    <row r="793">
      <c r="J793" s="91"/>
    </row>
    <row r="794">
      <c r="J794" s="91"/>
    </row>
    <row r="795">
      <c r="J795" s="91"/>
    </row>
    <row r="796">
      <c r="J796" s="91"/>
    </row>
    <row r="797">
      <c r="J797" s="91"/>
    </row>
    <row r="798">
      <c r="J798" s="91"/>
    </row>
    <row r="799">
      <c r="J799" s="91"/>
    </row>
    <row r="800">
      <c r="J800" s="91"/>
    </row>
    <row r="801">
      <c r="J801" s="91"/>
    </row>
    <row r="802">
      <c r="J802" s="91"/>
    </row>
    <row r="803">
      <c r="J803" s="91"/>
    </row>
    <row r="804">
      <c r="J804" s="91"/>
    </row>
    <row r="805">
      <c r="J805" s="91"/>
    </row>
    <row r="806">
      <c r="J806" s="91"/>
    </row>
    <row r="807">
      <c r="J807" s="91"/>
    </row>
    <row r="808">
      <c r="J808" s="91"/>
    </row>
    <row r="809">
      <c r="J809" s="91"/>
    </row>
    <row r="810">
      <c r="J810" s="91"/>
    </row>
    <row r="811">
      <c r="J811" s="91"/>
    </row>
    <row r="812">
      <c r="J812" s="91"/>
    </row>
    <row r="813">
      <c r="J813" s="91"/>
    </row>
    <row r="814">
      <c r="J814" s="91"/>
    </row>
    <row r="815">
      <c r="J815" s="91"/>
    </row>
    <row r="816">
      <c r="J816" s="91"/>
    </row>
    <row r="817">
      <c r="J817" s="91"/>
    </row>
    <row r="818">
      <c r="J818" s="91"/>
    </row>
    <row r="819">
      <c r="J819" s="91"/>
    </row>
    <row r="820">
      <c r="J820" s="91"/>
    </row>
    <row r="821">
      <c r="J821" s="91"/>
    </row>
    <row r="822">
      <c r="J822" s="91"/>
    </row>
    <row r="823">
      <c r="J823" s="91"/>
    </row>
    <row r="824">
      <c r="J824" s="91"/>
    </row>
    <row r="825">
      <c r="J825" s="91"/>
    </row>
    <row r="826">
      <c r="J826" s="91"/>
    </row>
    <row r="827">
      <c r="J827" s="91"/>
    </row>
    <row r="828">
      <c r="J828" s="91"/>
    </row>
    <row r="829">
      <c r="J829" s="91"/>
    </row>
    <row r="830">
      <c r="J830" s="91"/>
    </row>
    <row r="831">
      <c r="J831" s="91"/>
    </row>
    <row r="832">
      <c r="J832" s="91"/>
    </row>
    <row r="833">
      <c r="J833" s="91"/>
    </row>
    <row r="834">
      <c r="J834" s="91"/>
    </row>
    <row r="835">
      <c r="J835" s="91"/>
    </row>
    <row r="836">
      <c r="J836" s="91"/>
    </row>
    <row r="837">
      <c r="J837" s="91"/>
    </row>
    <row r="838">
      <c r="J838" s="91"/>
    </row>
    <row r="839">
      <c r="J839" s="91"/>
    </row>
    <row r="840">
      <c r="J840" s="91"/>
    </row>
    <row r="841">
      <c r="J841" s="91"/>
    </row>
    <row r="842">
      <c r="J842" s="91"/>
    </row>
    <row r="843">
      <c r="J843" s="91"/>
    </row>
    <row r="844">
      <c r="J844" s="91"/>
    </row>
    <row r="845">
      <c r="J845" s="91"/>
    </row>
    <row r="846">
      <c r="J846" s="91"/>
    </row>
    <row r="847">
      <c r="J847" s="91"/>
    </row>
    <row r="848">
      <c r="J848" s="91"/>
    </row>
    <row r="849">
      <c r="J849" s="91"/>
    </row>
    <row r="850">
      <c r="J850" s="91"/>
    </row>
    <row r="851">
      <c r="J851" s="91"/>
    </row>
    <row r="852">
      <c r="J852" s="91"/>
    </row>
    <row r="853">
      <c r="J853" s="91"/>
    </row>
    <row r="854">
      <c r="J854" s="91"/>
    </row>
    <row r="855">
      <c r="J855" s="91"/>
    </row>
    <row r="856">
      <c r="J856" s="91"/>
    </row>
    <row r="857">
      <c r="J857" s="91"/>
    </row>
    <row r="858">
      <c r="J858" s="91"/>
    </row>
    <row r="859">
      <c r="J859" s="91"/>
    </row>
    <row r="860">
      <c r="J860" s="91"/>
    </row>
    <row r="861">
      <c r="J861" s="91"/>
    </row>
    <row r="862">
      <c r="J862" s="91"/>
    </row>
    <row r="863">
      <c r="J863" s="91"/>
    </row>
    <row r="864">
      <c r="J864" s="91"/>
    </row>
    <row r="865">
      <c r="J865" s="91"/>
    </row>
    <row r="866">
      <c r="J866" s="91"/>
    </row>
    <row r="867">
      <c r="J867" s="91"/>
    </row>
    <row r="868">
      <c r="J868" s="91"/>
    </row>
    <row r="869">
      <c r="J869" s="91"/>
    </row>
    <row r="870">
      <c r="J870" s="91"/>
    </row>
    <row r="871">
      <c r="J871" s="91"/>
    </row>
    <row r="872">
      <c r="J872" s="91"/>
    </row>
    <row r="873">
      <c r="J873" s="91"/>
    </row>
    <row r="874">
      <c r="J874" s="91"/>
    </row>
  </sheetData>
  <mergeCells count="16">
    <mergeCell ref="L4:O4"/>
    <mergeCell ref="L8:O8"/>
    <mergeCell ref="L12:O12"/>
    <mergeCell ref="L16:O16"/>
    <mergeCell ref="L20:O20"/>
    <mergeCell ref="L24:O24"/>
    <mergeCell ref="L28:O28"/>
    <mergeCell ref="H60:K60"/>
    <mergeCell ref="H64:K64"/>
    <mergeCell ref="L32:O32"/>
    <mergeCell ref="L36:O36"/>
    <mergeCell ref="L40:O40"/>
    <mergeCell ref="L44:O44"/>
    <mergeCell ref="L48:O48"/>
    <mergeCell ref="L52:O52"/>
    <mergeCell ref="H56:K56"/>
  </mergeCells>
  <conditionalFormatting sqref="AC3:AC7 AC11:AC12 AC20:AC21 AC25:AC55 Y56:Y874 AP87">
    <cfRule type="cellIs" dxfId="16" priority="1" operator="equal">
      <formula>"CT"</formula>
    </cfRule>
  </conditionalFormatting>
  <conditionalFormatting sqref="AC3:AC7 AC11:AC12 AC20:AC21 AC25:AC55 Y56:Y874 AP87">
    <cfRule type="cellIs" dxfId="17" priority="2" operator="equal">
      <formula>"T"</formula>
    </cfRule>
  </conditionalFormatting>
  <conditionalFormatting sqref="I1:I2 S1:S2 M3 W3:W55 M5:M7 M9:M11 M13:M15 M17:M19 M21:M23 M25:M27 M29:M31 M33:M35 M37:M39 M41:M43 M45:M47 M49:M51 M53:M55 S56:S874 I57:I59 I61:I63 I65:I874">
    <cfRule type="cellIs" dxfId="18" priority="3" operator="equal">
      <formula>1</formula>
    </cfRule>
  </conditionalFormatting>
  <conditionalFormatting sqref="I1:I2 S1:S2 M3 W3:W55 M5:M7 M9:M11 M13:M15 M17:M19 M21:M23 M25:M27 M29:M31 M33:M35 M37:M39 M41:M43 M45:M47 M49:M51 M53:M55 S56:S874 I57:I59 I61:I63 I65:I874">
    <cfRule type="cellIs" dxfId="19" priority="4" operator="equal">
      <formula>0</formula>
    </cfRule>
  </conditionalFormatting>
  <conditionalFormatting sqref="U1:AF19 AG3:AJ19 AL87:AW87">
    <cfRule type="cellIs" dxfId="18" priority="5" operator="equal">
      <formula>1</formula>
    </cfRule>
  </conditionalFormatting>
  <conditionalFormatting sqref="U13:AJ33">
    <cfRule type="cellIs" dxfId="18" priority="6" operator="between">
      <formula>1</formula>
      <formula>3</formula>
    </cfRule>
  </conditionalFormatting>
  <drawing r:id="rId1"/>
  <tableParts count="3">
    <tablePart r:id="rId5"/>
    <tablePart r:id="rId6"/>
    <tablePart r:id="rId7"/>
  </tableParts>
</worksheet>
</file>